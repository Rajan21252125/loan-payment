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acker" sheetId="1" state="visible" r:id="rId1"/>
    <sheet name="Loan Tracker" sheetId="2" state="visible" r:id="rId2"/>
    <sheet name="SIP Grow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Planned EMI</t>
        </is>
      </c>
      <c r="D1" s="1" t="inlineStr">
        <is>
          <t>EMI Paid? (Y/N)</t>
        </is>
      </c>
      <c r="E1" s="1" t="inlineStr">
        <is>
          <t>Actual EMI</t>
        </is>
      </c>
      <c r="F1" s="1" t="inlineStr">
        <is>
          <t>Extra EMI Paid? (Y/N)</t>
        </is>
      </c>
      <c r="G1" s="1" t="inlineStr">
        <is>
          <t>Extra EMI Amount</t>
        </is>
      </c>
      <c r="H1" s="1" t="inlineStr">
        <is>
          <t>SIP Done? (Y/N)</t>
        </is>
      </c>
      <c r="I1" s="1" t="inlineStr">
        <is>
          <t>SIP Amount</t>
        </is>
      </c>
      <c r="J1" s="1" t="inlineStr">
        <is>
          <t>Prepayment</t>
        </is>
      </c>
    </row>
    <row r="2">
      <c r="A2" t="n">
        <v>2026</v>
      </c>
      <c r="B2" t="inlineStr">
        <is>
          <t>Jan</t>
        </is>
      </c>
      <c r="C2" t="n">
        <v>29999</v>
      </c>
      <c r="D2" t="inlineStr"/>
      <c r="E2" t="inlineStr"/>
      <c r="F2" t="inlineStr"/>
      <c r="G2" t="inlineStr"/>
      <c r="H2" t="inlineStr"/>
      <c r="I2" t="n">
        <v>5000</v>
      </c>
      <c r="J2" t="inlineStr"/>
    </row>
    <row r="3">
      <c r="A3" t="n">
        <v>2026</v>
      </c>
      <c r="B3" t="inlineStr">
        <is>
          <t>Feb</t>
        </is>
      </c>
      <c r="C3" t="n">
        <v>29999</v>
      </c>
      <c r="D3" t="inlineStr"/>
      <c r="E3" t="inlineStr"/>
      <c r="F3" t="inlineStr"/>
      <c r="G3" t="inlineStr"/>
      <c r="H3" t="inlineStr"/>
      <c r="I3" t="n">
        <v>5000</v>
      </c>
      <c r="J3" t="inlineStr"/>
    </row>
    <row r="4">
      <c r="A4" t="n">
        <v>2026</v>
      </c>
      <c r="B4" t="inlineStr">
        <is>
          <t>Mar</t>
        </is>
      </c>
      <c r="C4" t="n">
        <v>29999</v>
      </c>
      <c r="D4" t="inlineStr"/>
      <c r="E4" t="inlineStr"/>
      <c r="F4" t="inlineStr"/>
      <c r="G4" t="inlineStr"/>
      <c r="H4" t="inlineStr"/>
      <c r="I4" t="n">
        <v>5000</v>
      </c>
      <c r="J4" t="inlineStr"/>
    </row>
    <row r="5">
      <c r="A5" t="n">
        <v>2026</v>
      </c>
      <c r="B5" t="inlineStr">
        <is>
          <t>Apr</t>
        </is>
      </c>
      <c r="C5" t="n">
        <v>29999</v>
      </c>
      <c r="D5" t="inlineStr"/>
      <c r="E5" t="inlineStr"/>
      <c r="F5" t="inlineStr"/>
      <c r="G5" t="inlineStr"/>
      <c r="H5" t="inlineStr"/>
      <c r="I5" t="n">
        <v>5000</v>
      </c>
      <c r="J5" t="inlineStr"/>
    </row>
    <row r="6">
      <c r="A6" t="n">
        <v>2026</v>
      </c>
      <c r="B6" t="inlineStr">
        <is>
          <t>May</t>
        </is>
      </c>
      <c r="C6" t="n">
        <v>29999</v>
      </c>
      <c r="D6" t="inlineStr"/>
      <c r="E6" t="inlineStr"/>
      <c r="F6" t="inlineStr"/>
      <c r="G6" t="inlineStr"/>
      <c r="H6" t="inlineStr"/>
      <c r="I6" t="n">
        <v>5000</v>
      </c>
      <c r="J6" t="inlineStr"/>
    </row>
    <row r="7">
      <c r="A7" t="n">
        <v>2026</v>
      </c>
      <c r="B7" t="inlineStr">
        <is>
          <t>Jun</t>
        </is>
      </c>
      <c r="C7" t="n">
        <v>29999</v>
      </c>
      <c r="D7" t="inlineStr"/>
      <c r="E7" t="inlineStr"/>
      <c r="F7" t="inlineStr"/>
      <c r="G7" t="inlineStr"/>
      <c r="H7" t="inlineStr"/>
      <c r="I7" t="n">
        <v>5000</v>
      </c>
      <c r="J7" t="inlineStr"/>
    </row>
    <row r="8">
      <c r="A8" t="n">
        <v>2026</v>
      </c>
      <c r="B8" t="inlineStr">
        <is>
          <t>Jul</t>
        </is>
      </c>
      <c r="C8" t="n">
        <v>29999</v>
      </c>
      <c r="D8" t="inlineStr"/>
      <c r="E8" t="inlineStr"/>
      <c r="F8" t="inlineStr"/>
      <c r="G8" t="inlineStr"/>
      <c r="H8" t="inlineStr"/>
      <c r="I8" t="n">
        <v>5000</v>
      </c>
      <c r="J8" t="inlineStr"/>
    </row>
    <row r="9">
      <c r="A9" t="n">
        <v>2026</v>
      </c>
      <c r="B9" t="inlineStr">
        <is>
          <t>Aug</t>
        </is>
      </c>
      <c r="C9" t="n">
        <v>29999</v>
      </c>
      <c r="D9" t="inlineStr"/>
      <c r="E9" t="inlineStr"/>
      <c r="F9" t="inlineStr"/>
      <c r="G9" t="inlineStr"/>
      <c r="H9" t="inlineStr"/>
      <c r="I9" t="n">
        <v>5000</v>
      </c>
      <c r="J9" t="inlineStr"/>
    </row>
    <row r="10">
      <c r="A10" t="n">
        <v>2026</v>
      </c>
      <c r="B10" t="inlineStr">
        <is>
          <t>Sep</t>
        </is>
      </c>
      <c r="C10" t="n">
        <v>29999</v>
      </c>
      <c r="D10" t="inlineStr"/>
      <c r="E10" t="inlineStr"/>
      <c r="F10" t="inlineStr"/>
      <c r="G10" t="inlineStr"/>
      <c r="H10" t="inlineStr"/>
      <c r="I10" t="n">
        <v>5000</v>
      </c>
      <c r="J10" t="inlineStr"/>
    </row>
    <row r="11">
      <c r="A11" t="n">
        <v>2026</v>
      </c>
      <c r="B11" t="inlineStr">
        <is>
          <t>Oct</t>
        </is>
      </c>
      <c r="C11" t="n">
        <v>29999</v>
      </c>
      <c r="D11" t="inlineStr"/>
      <c r="E11" t="inlineStr"/>
      <c r="F11" t="inlineStr"/>
      <c r="G11" t="inlineStr"/>
      <c r="H11" t="inlineStr"/>
      <c r="I11" t="n">
        <v>5000</v>
      </c>
      <c r="J11" t="inlineStr"/>
    </row>
    <row r="12">
      <c r="A12" t="n">
        <v>2026</v>
      </c>
      <c r="B12" t="inlineStr">
        <is>
          <t>Nov</t>
        </is>
      </c>
      <c r="C12" t="n">
        <v>29999</v>
      </c>
      <c r="D12" t="inlineStr"/>
      <c r="E12" t="inlineStr"/>
      <c r="F12" t="inlineStr"/>
      <c r="G12" t="inlineStr"/>
      <c r="H12" t="inlineStr"/>
      <c r="I12" t="n">
        <v>5000</v>
      </c>
      <c r="J12" t="inlineStr"/>
    </row>
    <row r="13">
      <c r="A13" t="n">
        <v>2026</v>
      </c>
      <c r="B13" t="inlineStr">
        <is>
          <t>Dec</t>
        </is>
      </c>
      <c r="C13" t="n">
        <v>29999</v>
      </c>
      <c r="D13" t="inlineStr"/>
      <c r="E13" t="inlineStr"/>
      <c r="F13" t="inlineStr"/>
      <c r="G13" t="inlineStr"/>
      <c r="H13" t="inlineStr"/>
      <c r="I13" t="n">
        <v>5000</v>
      </c>
      <c r="J13" t="inlineStr"/>
    </row>
    <row r="14">
      <c r="A14" t="n">
        <v>2027</v>
      </c>
      <c r="B14" t="inlineStr">
        <is>
          <t>Jan</t>
        </is>
      </c>
      <c r="C14" t="n">
        <v>29999</v>
      </c>
      <c r="D14" t="inlineStr"/>
      <c r="E14" t="inlineStr"/>
      <c r="F14" t="inlineStr"/>
      <c r="G14" t="inlineStr"/>
      <c r="H14" t="inlineStr"/>
      <c r="I14" t="n">
        <v>5000</v>
      </c>
      <c r="J14" t="inlineStr"/>
    </row>
    <row r="15">
      <c r="A15" t="n">
        <v>2027</v>
      </c>
      <c r="B15" t="inlineStr">
        <is>
          <t>Feb</t>
        </is>
      </c>
      <c r="C15" t="n">
        <v>29999</v>
      </c>
      <c r="D15" t="inlineStr"/>
      <c r="E15" t="inlineStr"/>
      <c r="F15" t="inlineStr"/>
      <c r="G15" t="inlineStr"/>
      <c r="H15" t="inlineStr"/>
      <c r="I15" t="n">
        <v>5000</v>
      </c>
      <c r="J15" t="inlineStr"/>
    </row>
    <row r="16">
      <c r="A16" t="n">
        <v>2027</v>
      </c>
      <c r="B16" t="inlineStr">
        <is>
          <t>Mar</t>
        </is>
      </c>
      <c r="C16" t="n">
        <v>29999</v>
      </c>
      <c r="D16" t="inlineStr"/>
      <c r="E16" t="inlineStr"/>
      <c r="F16" t="inlineStr"/>
      <c r="G16" t="inlineStr"/>
      <c r="H16" t="inlineStr"/>
      <c r="I16" t="n">
        <v>5000</v>
      </c>
      <c r="J16" t="inlineStr"/>
    </row>
    <row r="17">
      <c r="A17" t="n">
        <v>2027</v>
      </c>
      <c r="B17" t="inlineStr">
        <is>
          <t>Apr</t>
        </is>
      </c>
      <c r="C17" t="n">
        <v>29999</v>
      </c>
      <c r="D17" t="inlineStr"/>
      <c r="E17" t="inlineStr"/>
      <c r="F17" t="inlineStr"/>
      <c r="G17" t="inlineStr"/>
      <c r="H17" t="inlineStr"/>
      <c r="I17" t="n">
        <v>5000</v>
      </c>
      <c r="J17" t="inlineStr"/>
    </row>
    <row r="18">
      <c r="A18" t="n">
        <v>2027</v>
      </c>
      <c r="B18" t="inlineStr">
        <is>
          <t>May</t>
        </is>
      </c>
      <c r="C18" t="n">
        <v>29999</v>
      </c>
      <c r="D18" t="inlineStr"/>
      <c r="E18" t="inlineStr"/>
      <c r="F18" t="inlineStr"/>
      <c r="G18" t="inlineStr"/>
      <c r="H18" t="inlineStr"/>
      <c r="I18" t="n">
        <v>5000</v>
      </c>
      <c r="J18" t="inlineStr"/>
    </row>
    <row r="19">
      <c r="A19" t="n">
        <v>2027</v>
      </c>
      <c r="B19" t="inlineStr">
        <is>
          <t>Jun</t>
        </is>
      </c>
      <c r="C19" t="n">
        <v>29999</v>
      </c>
      <c r="D19" t="inlineStr"/>
      <c r="E19" t="inlineStr"/>
      <c r="F19" t="inlineStr"/>
      <c r="G19" t="inlineStr"/>
      <c r="H19" t="inlineStr"/>
      <c r="I19" t="n">
        <v>5000</v>
      </c>
      <c r="J19" t="inlineStr"/>
    </row>
    <row r="20">
      <c r="A20" t="n">
        <v>2027</v>
      </c>
      <c r="B20" t="inlineStr">
        <is>
          <t>Jul</t>
        </is>
      </c>
      <c r="C20" t="n">
        <v>29999</v>
      </c>
      <c r="D20" t="inlineStr"/>
      <c r="E20" t="inlineStr"/>
      <c r="F20" t="inlineStr"/>
      <c r="G20" t="inlineStr"/>
      <c r="H20" t="inlineStr"/>
      <c r="I20" t="n">
        <v>5000</v>
      </c>
      <c r="J20" t="inlineStr"/>
    </row>
    <row r="21">
      <c r="A21" t="n">
        <v>2027</v>
      </c>
      <c r="B21" t="inlineStr">
        <is>
          <t>Aug</t>
        </is>
      </c>
      <c r="C21" t="n">
        <v>29999</v>
      </c>
      <c r="D21" t="inlineStr"/>
      <c r="E21" t="inlineStr"/>
      <c r="F21" t="inlineStr"/>
      <c r="G21" t="inlineStr"/>
      <c r="H21" t="inlineStr"/>
      <c r="I21" t="n">
        <v>5000</v>
      </c>
      <c r="J21" t="inlineStr"/>
    </row>
    <row r="22">
      <c r="A22" t="n">
        <v>2027</v>
      </c>
      <c r="B22" t="inlineStr">
        <is>
          <t>Sep</t>
        </is>
      </c>
      <c r="C22" t="n">
        <v>29999</v>
      </c>
      <c r="D22" t="inlineStr"/>
      <c r="E22" t="inlineStr"/>
      <c r="F22" t="inlineStr"/>
      <c r="G22" t="inlineStr"/>
      <c r="H22" t="inlineStr"/>
      <c r="I22" t="n">
        <v>5000</v>
      </c>
      <c r="J22" t="inlineStr"/>
    </row>
    <row r="23">
      <c r="A23" t="n">
        <v>2027</v>
      </c>
      <c r="B23" t="inlineStr">
        <is>
          <t>Oct</t>
        </is>
      </c>
      <c r="C23" t="n">
        <v>29999</v>
      </c>
      <c r="D23" t="inlineStr"/>
      <c r="E23" t="inlineStr"/>
      <c r="F23" t="inlineStr"/>
      <c r="G23" t="inlineStr"/>
      <c r="H23" t="inlineStr"/>
      <c r="I23" t="n">
        <v>5000</v>
      </c>
      <c r="J23" t="inlineStr"/>
    </row>
    <row r="24">
      <c r="A24" t="n">
        <v>2027</v>
      </c>
      <c r="B24" t="inlineStr">
        <is>
          <t>Nov</t>
        </is>
      </c>
      <c r="C24" t="n">
        <v>29999</v>
      </c>
      <c r="D24" t="inlineStr"/>
      <c r="E24" t="inlineStr"/>
      <c r="F24" t="inlineStr"/>
      <c r="G24" t="inlineStr"/>
      <c r="H24" t="inlineStr"/>
      <c r="I24" t="n">
        <v>5000</v>
      </c>
      <c r="J24" t="inlineStr"/>
    </row>
    <row r="25">
      <c r="A25" t="n">
        <v>2027</v>
      </c>
      <c r="B25" t="inlineStr">
        <is>
          <t>Dec</t>
        </is>
      </c>
      <c r="C25" t="n">
        <v>29999</v>
      </c>
      <c r="D25" t="inlineStr"/>
      <c r="E25" t="inlineStr"/>
      <c r="F25" t="inlineStr"/>
      <c r="G25" t="inlineStr"/>
      <c r="H25" t="inlineStr"/>
      <c r="I25" t="n">
        <v>5000</v>
      </c>
      <c r="J25" t="inlineStr"/>
    </row>
    <row r="26">
      <c r="A26" t="n">
        <v>2028</v>
      </c>
      <c r="B26" t="inlineStr">
        <is>
          <t>Jan</t>
        </is>
      </c>
      <c r="C26" t="n">
        <v>29999</v>
      </c>
      <c r="D26" t="inlineStr"/>
      <c r="E26" t="inlineStr"/>
      <c r="F26" t="inlineStr"/>
      <c r="G26" t="inlineStr"/>
      <c r="H26" t="inlineStr"/>
      <c r="I26" t="n">
        <v>5000</v>
      </c>
      <c r="J26" t="inlineStr"/>
    </row>
    <row r="27">
      <c r="A27" t="n">
        <v>2028</v>
      </c>
      <c r="B27" t="inlineStr">
        <is>
          <t>Feb</t>
        </is>
      </c>
      <c r="C27" t="n">
        <v>29999</v>
      </c>
      <c r="D27" t="inlineStr"/>
      <c r="E27" t="inlineStr"/>
      <c r="F27" t="inlineStr"/>
      <c r="G27" t="inlineStr"/>
      <c r="H27" t="inlineStr"/>
      <c r="I27" t="n">
        <v>5000</v>
      </c>
      <c r="J27" t="inlineStr"/>
    </row>
    <row r="28">
      <c r="A28" t="n">
        <v>2028</v>
      </c>
      <c r="B28" t="inlineStr">
        <is>
          <t>Mar</t>
        </is>
      </c>
      <c r="C28" t="n">
        <v>29999</v>
      </c>
      <c r="D28" t="inlineStr"/>
      <c r="E28" t="inlineStr"/>
      <c r="F28" t="inlineStr"/>
      <c r="G28" t="inlineStr"/>
      <c r="H28" t="inlineStr"/>
      <c r="I28" t="n">
        <v>5000</v>
      </c>
      <c r="J28" t="inlineStr"/>
    </row>
    <row r="29">
      <c r="A29" t="n">
        <v>2028</v>
      </c>
      <c r="B29" t="inlineStr">
        <is>
          <t>Apr</t>
        </is>
      </c>
      <c r="C29" t="n">
        <v>29999</v>
      </c>
      <c r="D29" t="inlineStr"/>
      <c r="E29" t="inlineStr"/>
      <c r="F29" t="inlineStr"/>
      <c r="G29" t="inlineStr"/>
      <c r="H29" t="inlineStr"/>
      <c r="I29" t="n">
        <v>5000</v>
      </c>
      <c r="J29" t="inlineStr"/>
    </row>
    <row r="30">
      <c r="A30" t="n">
        <v>2028</v>
      </c>
      <c r="B30" t="inlineStr">
        <is>
          <t>May</t>
        </is>
      </c>
      <c r="C30" t="n">
        <v>29999</v>
      </c>
      <c r="D30" t="inlineStr"/>
      <c r="E30" t="inlineStr"/>
      <c r="F30" t="inlineStr"/>
      <c r="G30" t="inlineStr"/>
      <c r="H30" t="inlineStr"/>
      <c r="I30" t="n">
        <v>5000</v>
      </c>
      <c r="J30" t="inlineStr"/>
    </row>
    <row r="31">
      <c r="A31" t="n">
        <v>2028</v>
      </c>
      <c r="B31" t="inlineStr">
        <is>
          <t>Jun</t>
        </is>
      </c>
      <c r="C31" t="n">
        <v>29999</v>
      </c>
      <c r="D31" t="inlineStr"/>
      <c r="E31" t="inlineStr"/>
      <c r="F31" t="inlineStr"/>
      <c r="G31" t="inlineStr"/>
      <c r="H31" t="inlineStr"/>
      <c r="I31" t="n">
        <v>5000</v>
      </c>
      <c r="J31" t="inlineStr"/>
    </row>
    <row r="32">
      <c r="A32" t="n">
        <v>2028</v>
      </c>
      <c r="B32" t="inlineStr">
        <is>
          <t>Jul</t>
        </is>
      </c>
      <c r="C32" t="n">
        <v>29999</v>
      </c>
      <c r="D32" t="inlineStr"/>
      <c r="E32" t="inlineStr"/>
      <c r="F32" t="inlineStr"/>
      <c r="G32" t="inlineStr"/>
      <c r="H32" t="inlineStr"/>
      <c r="I32" t="n">
        <v>5000</v>
      </c>
      <c r="J32" t="inlineStr"/>
    </row>
    <row r="33">
      <c r="A33" t="n">
        <v>2028</v>
      </c>
      <c r="B33" t="inlineStr">
        <is>
          <t>Aug</t>
        </is>
      </c>
      <c r="C33" t="n">
        <v>29999</v>
      </c>
      <c r="D33" t="inlineStr"/>
      <c r="E33" t="inlineStr"/>
      <c r="F33" t="inlineStr"/>
      <c r="G33" t="inlineStr"/>
      <c r="H33" t="inlineStr"/>
      <c r="I33" t="n">
        <v>5000</v>
      </c>
      <c r="J33" t="inlineStr"/>
    </row>
    <row r="34">
      <c r="A34" t="n">
        <v>2028</v>
      </c>
      <c r="B34" t="inlineStr">
        <is>
          <t>Sep</t>
        </is>
      </c>
      <c r="C34" t="n">
        <v>29999</v>
      </c>
      <c r="D34" t="inlineStr"/>
      <c r="E34" t="inlineStr"/>
      <c r="F34" t="inlineStr"/>
      <c r="G34" t="inlineStr"/>
      <c r="H34" t="inlineStr"/>
      <c r="I34" t="n">
        <v>5000</v>
      </c>
      <c r="J34" t="inlineStr"/>
    </row>
    <row r="35">
      <c r="A35" t="n">
        <v>2028</v>
      </c>
      <c r="B35" t="inlineStr">
        <is>
          <t>Oct</t>
        </is>
      </c>
      <c r="C35" t="n">
        <v>29999</v>
      </c>
      <c r="D35" t="inlineStr"/>
      <c r="E35" t="inlineStr"/>
      <c r="F35" t="inlineStr"/>
      <c r="G35" t="inlineStr"/>
      <c r="H35" t="inlineStr"/>
      <c r="I35" t="n">
        <v>5000</v>
      </c>
      <c r="J35" t="inlineStr"/>
    </row>
    <row r="36">
      <c r="A36" t="n">
        <v>2028</v>
      </c>
      <c r="B36" t="inlineStr">
        <is>
          <t>Nov</t>
        </is>
      </c>
      <c r="C36" t="n">
        <v>29999</v>
      </c>
      <c r="D36" t="inlineStr"/>
      <c r="E36" t="inlineStr"/>
      <c r="F36" t="inlineStr"/>
      <c r="G36" t="inlineStr"/>
      <c r="H36" t="inlineStr"/>
      <c r="I36" t="n">
        <v>5000</v>
      </c>
      <c r="J36" t="inlineStr"/>
    </row>
    <row r="37">
      <c r="A37" t="n">
        <v>2028</v>
      </c>
      <c r="B37" t="inlineStr">
        <is>
          <t>Dec</t>
        </is>
      </c>
      <c r="C37" t="n">
        <v>29999</v>
      </c>
      <c r="D37" t="inlineStr"/>
      <c r="E37" t="inlineStr"/>
      <c r="F37" t="inlineStr"/>
      <c r="G37" t="inlineStr"/>
      <c r="H37" t="inlineStr"/>
      <c r="I37" t="n">
        <v>5000</v>
      </c>
      <c r="J37" t="inlineStr"/>
    </row>
    <row r="38">
      <c r="A38" t="n">
        <v>2029</v>
      </c>
      <c r="B38" t="inlineStr">
        <is>
          <t>Jan</t>
        </is>
      </c>
      <c r="C38" t="n">
        <v>29999</v>
      </c>
      <c r="D38" t="inlineStr"/>
      <c r="E38" t="inlineStr"/>
      <c r="F38" t="inlineStr"/>
      <c r="G38" t="inlineStr"/>
      <c r="H38" t="inlineStr"/>
      <c r="I38" t="n">
        <v>5000</v>
      </c>
      <c r="J38" t="inlineStr"/>
    </row>
    <row r="39">
      <c r="A39" t="n">
        <v>2029</v>
      </c>
      <c r="B39" t="inlineStr">
        <is>
          <t>Feb</t>
        </is>
      </c>
      <c r="C39" t="n">
        <v>29999</v>
      </c>
      <c r="D39" t="inlineStr"/>
      <c r="E39" t="inlineStr"/>
      <c r="F39" t="inlineStr"/>
      <c r="G39" t="inlineStr"/>
      <c r="H39" t="inlineStr"/>
      <c r="I39" t="n">
        <v>5000</v>
      </c>
      <c r="J39" t="inlineStr"/>
    </row>
    <row r="40">
      <c r="A40" t="n">
        <v>2029</v>
      </c>
      <c r="B40" t="inlineStr">
        <is>
          <t>Mar</t>
        </is>
      </c>
      <c r="C40" t="n">
        <v>29999</v>
      </c>
      <c r="D40" t="inlineStr"/>
      <c r="E40" t="inlineStr"/>
      <c r="F40" t="inlineStr"/>
      <c r="G40" t="inlineStr"/>
      <c r="H40" t="inlineStr"/>
      <c r="I40" t="n">
        <v>5000</v>
      </c>
      <c r="J40" t="inlineStr"/>
    </row>
    <row r="41">
      <c r="A41" t="n">
        <v>2029</v>
      </c>
      <c r="B41" t="inlineStr">
        <is>
          <t>Apr</t>
        </is>
      </c>
      <c r="C41" t="n">
        <v>29999</v>
      </c>
      <c r="D41" t="inlineStr"/>
      <c r="E41" t="inlineStr"/>
      <c r="F41" t="inlineStr"/>
      <c r="G41" t="inlineStr"/>
      <c r="H41" t="inlineStr"/>
      <c r="I41" t="n">
        <v>5000</v>
      </c>
      <c r="J41" t="inlineStr"/>
    </row>
    <row r="42">
      <c r="A42" t="n">
        <v>2029</v>
      </c>
      <c r="B42" t="inlineStr">
        <is>
          <t>May</t>
        </is>
      </c>
      <c r="C42" t="n">
        <v>29999</v>
      </c>
      <c r="D42" t="inlineStr"/>
      <c r="E42" t="inlineStr"/>
      <c r="F42" t="inlineStr"/>
      <c r="G42" t="inlineStr"/>
      <c r="H42" t="inlineStr"/>
      <c r="I42" t="n">
        <v>5000</v>
      </c>
      <c r="J42" t="inlineStr"/>
    </row>
    <row r="43">
      <c r="A43" t="n">
        <v>2029</v>
      </c>
      <c r="B43" t="inlineStr">
        <is>
          <t>Jun</t>
        </is>
      </c>
      <c r="C43" t="n">
        <v>29999</v>
      </c>
      <c r="D43" t="inlineStr"/>
      <c r="E43" t="inlineStr"/>
      <c r="F43" t="inlineStr"/>
      <c r="G43" t="inlineStr"/>
      <c r="H43" t="inlineStr"/>
      <c r="I43" t="n">
        <v>5000</v>
      </c>
      <c r="J43" t="inlineStr"/>
    </row>
    <row r="44">
      <c r="A44" t="n">
        <v>2029</v>
      </c>
      <c r="B44" t="inlineStr">
        <is>
          <t>Jul</t>
        </is>
      </c>
      <c r="C44" t="n">
        <v>29999</v>
      </c>
      <c r="D44" t="inlineStr"/>
      <c r="E44" t="inlineStr"/>
      <c r="F44" t="inlineStr"/>
      <c r="G44" t="inlineStr"/>
      <c r="H44" t="inlineStr"/>
      <c r="I44" t="n">
        <v>5000</v>
      </c>
      <c r="J44" t="inlineStr"/>
    </row>
    <row r="45">
      <c r="A45" t="n">
        <v>2029</v>
      </c>
      <c r="B45" t="inlineStr">
        <is>
          <t>Aug</t>
        </is>
      </c>
      <c r="C45" t="n">
        <v>29999</v>
      </c>
      <c r="D45" t="inlineStr"/>
      <c r="E45" t="inlineStr"/>
      <c r="F45" t="inlineStr"/>
      <c r="G45" t="inlineStr"/>
      <c r="H45" t="inlineStr"/>
      <c r="I45" t="n">
        <v>5000</v>
      </c>
      <c r="J45" t="inlineStr"/>
    </row>
    <row r="46">
      <c r="A46" t="n">
        <v>2029</v>
      </c>
      <c r="B46" t="inlineStr">
        <is>
          <t>Sep</t>
        </is>
      </c>
      <c r="C46" t="n">
        <v>29999</v>
      </c>
      <c r="D46" t="inlineStr"/>
      <c r="E46" t="inlineStr"/>
      <c r="F46" t="inlineStr"/>
      <c r="G46" t="inlineStr"/>
      <c r="H46" t="inlineStr"/>
      <c r="I46" t="n">
        <v>5000</v>
      </c>
      <c r="J46" t="inlineStr"/>
    </row>
    <row r="47">
      <c r="A47" t="n">
        <v>2029</v>
      </c>
      <c r="B47" t="inlineStr">
        <is>
          <t>Oct</t>
        </is>
      </c>
      <c r="C47" t="n">
        <v>29999</v>
      </c>
      <c r="D47" t="inlineStr"/>
      <c r="E47" t="inlineStr"/>
      <c r="F47" t="inlineStr"/>
      <c r="G47" t="inlineStr"/>
      <c r="H47" t="inlineStr"/>
      <c r="I47" t="n">
        <v>5000</v>
      </c>
      <c r="J47" t="inlineStr"/>
    </row>
    <row r="48">
      <c r="A48" t="n">
        <v>2029</v>
      </c>
      <c r="B48" t="inlineStr">
        <is>
          <t>Nov</t>
        </is>
      </c>
      <c r="C48" t="n">
        <v>29999</v>
      </c>
      <c r="D48" t="inlineStr"/>
      <c r="E48" t="inlineStr"/>
      <c r="F48" t="inlineStr"/>
      <c r="G48" t="inlineStr"/>
      <c r="H48" t="inlineStr"/>
      <c r="I48" t="n">
        <v>5000</v>
      </c>
      <c r="J48" t="inlineStr"/>
    </row>
    <row r="49">
      <c r="A49" t="n">
        <v>2029</v>
      </c>
      <c r="B49" t="inlineStr">
        <is>
          <t>Dec</t>
        </is>
      </c>
      <c r="C49" t="n">
        <v>29999</v>
      </c>
      <c r="D49" t="inlineStr"/>
      <c r="E49" t="inlineStr"/>
      <c r="F49" t="inlineStr"/>
      <c r="G49" t="inlineStr"/>
      <c r="H49" t="inlineStr"/>
      <c r="I49" t="n">
        <v>5000</v>
      </c>
      <c r="J49" t="inlineStr"/>
    </row>
    <row r="50">
      <c r="A50" t="n">
        <v>2030</v>
      </c>
      <c r="B50" t="inlineStr">
        <is>
          <t>Jan</t>
        </is>
      </c>
      <c r="C50" t="n">
        <v>29999</v>
      </c>
      <c r="D50" t="inlineStr"/>
      <c r="E50" t="inlineStr"/>
      <c r="F50" t="inlineStr"/>
      <c r="G50" t="inlineStr"/>
      <c r="H50" t="inlineStr"/>
      <c r="I50" t="n">
        <v>5000</v>
      </c>
      <c r="J50" t="inlineStr"/>
    </row>
    <row r="51">
      <c r="A51" t="n">
        <v>2030</v>
      </c>
      <c r="B51" t="inlineStr">
        <is>
          <t>Feb</t>
        </is>
      </c>
      <c r="C51" t="n">
        <v>29999</v>
      </c>
      <c r="D51" t="inlineStr"/>
      <c r="E51" t="inlineStr"/>
      <c r="F51" t="inlineStr"/>
      <c r="G51" t="inlineStr"/>
      <c r="H51" t="inlineStr"/>
      <c r="I51" t="n">
        <v>5000</v>
      </c>
      <c r="J51" t="inlineStr"/>
    </row>
    <row r="52">
      <c r="A52" t="n">
        <v>2030</v>
      </c>
      <c r="B52" t="inlineStr">
        <is>
          <t>Mar</t>
        </is>
      </c>
      <c r="C52" t="n">
        <v>29999</v>
      </c>
      <c r="D52" t="inlineStr"/>
      <c r="E52" t="inlineStr"/>
      <c r="F52" t="inlineStr"/>
      <c r="G52" t="inlineStr"/>
      <c r="H52" t="inlineStr"/>
      <c r="I52" t="n">
        <v>5000</v>
      </c>
      <c r="J52" t="inlineStr"/>
    </row>
    <row r="53">
      <c r="A53" t="n">
        <v>2030</v>
      </c>
      <c r="B53" t="inlineStr">
        <is>
          <t>Apr</t>
        </is>
      </c>
      <c r="C53" t="n">
        <v>29999</v>
      </c>
      <c r="D53" t="inlineStr"/>
      <c r="E53" t="inlineStr"/>
      <c r="F53" t="inlineStr"/>
      <c r="G53" t="inlineStr"/>
      <c r="H53" t="inlineStr"/>
      <c r="I53" t="n">
        <v>5000</v>
      </c>
      <c r="J53" t="inlineStr"/>
    </row>
    <row r="54">
      <c r="A54" t="n">
        <v>2030</v>
      </c>
      <c r="B54" t="inlineStr">
        <is>
          <t>May</t>
        </is>
      </c>
      <c r="C54" t="n">
        <v>29999</v>
      </c>
      <c r="D54" t="inlineStr"/>
      <c r="E54" t="inlineStr"/>
      <c r="F54" t="inlineStr"/>
      <c r="G54" t="inlineStr"/>
      <c r="H54" t="inlineStr"/>
      <c r="I54" t="n">
        <v>5000</v>
      </c>
      <c r="J54" t="inlineStr"/>
    </row>
    <row r="55">
      <c r="A55" t="n">
        <v>2030</v>
      </c>
      <c r="B55" t="inlineStr">
        <is>
          <t>Jun</t>
        </is>
      </c>
      <c r="C55" t="n">
        <v>29999</v>
      </c>
      <c r="D55" t="inlineStr"/>
      <c r="E55" t="inlineStr"/>
      <c r="F55" t="inlineStr"/>
      <c r="G55" t="inlineStr"/>
      <c r="H55" t="inlineStr"/>
      <c r="I55" t="n">
        <v>5000</v>
      </c>
      <c r="J55" t="inlineStr"/>
    </row>
    <row r="56">
      <c r="A56" t="n">
        <v>2030</v>
      </c>
      <c r="B56" t="inlineStr">
        <is>
          <t>Jul</t>
        </is>
      </c>
      <c r="C56" t="n">
        <v>29999</v>
      </c>
      <c r="D56" t="inlineStr"/>
      <c r="E56" t="inlineStr"/>
      <c r="F56" t="inlineStr"/>
      <c r="G56" t="inlineStr"/>
      <c r="H56" t="inlineStr"/>
      <c r="I56" t="n">
        <v>5000</v>
      </c>
      <c r="J56" t="inlineStr"/>
    </row>
    <row r="57">
      <c r="A57" t="n">
        <v>2030</v>
      </c>
      <c r="B57" t="inlineStr">
        <is>
          <t>Aug</t>
        </is>
      </c>
      <c r="C57" t="n">
        <v>29999</v>
      </c>
      <c r="D57" t="inlineStr"/>
      <c r="E57" t="inlineStr"/>
      <c r="F57" t="inlineStr"/>
      <c r="G57" t="inlineStr"/>
      <c r="H57" t="inlineStr"/>
      <c r="I57" t="n">
        <v>5000</v>
      </c>
      <c r="J57" t="inlineStr"/>
    </row>
    <row r="58">
      <c r="A58" t="n">
        <v>2030</v>
      </c>
      <c r="B58" t="inlineStr">
        <is>
          <t>Sep</t>
        </is>
      </c>
      <c r="C58" t="n">
        <v>29999</v>
      </c>
      <c r="D58" t="inlineStr"/>
      <c r="E58" t="inlineStr"/>
      <c r="F58" t="inlineStr"/>
      <c r="G58" t="inlineStr"/>
      <c r="H58" t="inlineStr"/>
      <c r="I58" t="n">
        <v>5000</v>
      </c>
      <c r="J58" t="inlineStr"/>
    </row>
    <row r="59">
      <c r="A59" t="n">
        <v>2030</v>
      </c>
      <c r="B59" t="inlineStr">
        <is>
          <t>Oct</t>
        </is>
      </c>
      <c r="C59" t="n">
        <v>29999</v>
      </c>
      <c r="D59" t="inlineStr"/>
      <c r="E59" t="inlineStr"/>
      <c r="F59" t="inlineStr"/>
      <c r="G59" t="inlineStr"/>
      <c r="H59" t="inlineStr"/>
      <c r="I59" t="n">
        <v>5000</v>
      </c>
      <c r="J59" t="inlineStr"/>
    </row>
    <row r="60">
      <c r="A60" t="n">
        <v>2030</v>
      </c>
      <c r="B60" t="inlineStr">
        <is>
          <t>Nov</t>
        </is>
      </c>
      <c r="C60" t="n">
        <v>29999</v>
      </c>
      <c r="D60" t="inlineStr"/>
      <c r="E60" t="inlineStr"/>
      <c r="F60" t="inlineStr"/>
      <c r="G60" t="inlineStr"/>
      <c r="H60" t="inlineStr"/>
      <c r="I60" t="n">
        <v>5000</v>
      </c>
      <c r="J60" t="inlineStr"/>
    </row>
    <row r="61">
      <c r="A61" t="n">
        <v>2030</v>
      </c>
      <c r="B61" t="inlineStr">
        <is>
          <t>Dec</t>
        </is>
      </c>
      <c r="C61" t="n">
        <v>29999</v>
      </c>
      <c r="D61" t="inlineStr"/>
      <c r="E61" t="inlineStr"/>
      <c r="F61" t="inlineStr"/>
      <c r="G61" t="inlineStr"/>
      <c r="H61" t="inlineStr"/>
      <c r="I61" t="n">
        <v>5000</v>
      </c>
      <c r="J61" t="inlineStr"/>
    </row>
    <row r="62">
      <c r="A62" t="n">
        <v>2031</v>
      </c>
      <c r="B62" t="inlineStr">
        <is>
          <t>Jan</t>
        </is>
      </c>
      <c r="C62" t="n">
        <v>29999</v>
      </c>
      <c r="D62" t="inlineStr"/>
      <c r="E62" t="inlineStr"/>
      <c r="F62" t="inlineStr"/>
      <c r="G62" t="inlineStr"/>
      <c r="H62" t="inlineStr"/>
      <c r="I62" t="n">
        <v>5000</v>
      </c>
      <c r="J62" t="inlineStr"/>
    </row>
    <row r="63">
      <c r="A63" t="n">
        <v>2031</v>
      </c>
      <c r="B63" t="inlineStr">
        <is>
          <t>Feb</t>
        </is>
      </c>
      <c r="C63" t="n">
        <v>29999</v>
      </c>
      <c r="D63" t="inlineStr"/>
      <c r="E63" t="inlineStr"/>
      <c r="F63" t="inlineStr"/>
      <c r="G63" t="inlineStr"/>
      <c r="H63" t="inlineStr"/>
      <c r="I63" t="n">
        <v>5000</v>
      </c>
      <c r="J63" t="inlineStr"/>
    </row>
    <row r="64">
      <c r="A64" t="n">
        <v>2031</v>
      </c>
      <c r="B64" t="inlineStr">
        <is>
          <t>Mar</t>
        </is>
      </c>
      <c r="C64" t="n">
        <v>29999</v>
      </c>
      <c r="D64" t="inlineStr"/>
      <c r="E64" t="inlineStr"/>
      <c r="F64" t="inlineStr"/>
      <c r="G64" t="inlineStr"/>
      <c r="H64" t="inlineStr"/>
      <c r="I64" t="n">
        <v>5000</v>
      </c>
      <c r="J64" t="inlineStr"/>
    </row>
    <row r="65">
      <c r="A65" t="n">
        <v>2031</v>
      </c>
      <c r="B65" t="inlineStr">
        <is>
          <t>Apr</t>
        </is>
      </c>
      <c r="C65" t="n">
        <v>29999</v>
      </c>
      <c r="D65" t="inlineStr"/>
      <c r="E65" t="inlineStr"/>
      <c r="F65" t="inlineStr"/>
      <c r="G65" t="inlineStr"/>
      <c r="H65" t="inlineStr"/>
      <c r="I65" t="n">
        <v>5000</v>
      </c>
      <c r="J65" t="inlineStr"/>
    </row>
    <row r="66">
      <c r="A66" t="n">
        <v>2031</v>
      </c>
      <c r="B66" t="inlineStr">
        <is>
          <t>May</t>
        </is>
      </c>
      <c r="C66" t="n">
        <v>29999</v>
      </c>
      <c r="D66" t="inlineStr"/>
      <c r="E66" t="inlineStr"/>
      <c r="F66" t="inlineStr"/>
      <c r="G66" t="inlineStr"/>
      <c r="H66" t="inlineStr"/>
      <c r="I66" t="n">
        <v>5000</v>
      </c>
      <c r="J66" t="inlineStr"/>
    </row>
    <row r="67">
      <c r="A67" t="n">
        <v>2031</v>
      </c>
      <c r="B67" t="inlineStr">
        <is>
          <t>Jun</t>
        </is>
      </c>
      <c r="C67" t="n">
        <v>29999</v>
      </c>
      <c r="D67" t="inlineStr"/>
      <c r="E67" t="inlineStr"/>
      <c r="F67" t="inlineStr"/>
      <c r="G67" t="inlineStr"/>
      <c r="H67" t="inlineStr"/>
      <c r="I67" t="n">
        <v>5000</v>
      </c>
      <c r="J67" t="inlineStr"/>
    </row>
    <row r="68">
      <c r="A68" t="n">
        <v>2031</v>
      </c>
      <c r="B68" t="inlineStr">
        <is>
          <t>Jul</t>
        </is>
      </c>
      <c r="C68" t="n">
        <v>29999</v>
      </c>
      <c r="D68" t="inlineStr"/>
      <c r="E68" t="inlineStr"/>
      <c r="F68" t="inlineStr"/>
      <c r="G68" t="inlineStr"/>
      <c r="H68" t="inlineStr"/>
      <c r="I68" t="n">
        <v>5000</v>
      </c>
      <c r="J68" t="inlineStr"/>
    </row>
    <row r="69">
      <c r="A69" t="n">
        <v>2031</v>
      </c>
      <c r="B69" t="inlineStr">
        <is>
          <t>Aug</t>
        </is>
      </c>
      <c r="C69" t="n">
        <v>29999</v>
      </c>
      <c r="D69" t="inlineStr"/>
      <c r="E69" t="inlineStr"/>
      <c r="F69" t="inlineStr"/>
      <c r="G69" t="inlineStr"/>
      <c r="H69" t="inlineStr"/>
      <c r="I69" t="n">
        <v>5000</v>
      </c>
      <c r="J69" t="inlineStr"/>
    </row>
    <row r="70">
      <c r="A70" t="n">
        <v>2031</v>
      </c>
      <c r="B70" t="inlineStr">
        <is>
          <t>Sep</t>
        </is>
      </c>
      <c r="C70" t="n">
        <v>29999</v>
      </c>
      <c r="D70" t="inlineStr"/>
      <c r="E70" t="inlineStr"/>
      <c r="F70" t="inlineStr"/>
      <c r="G70" t="inlineStr"/>
      <c r="H70" t="inlineStr"/>
      <c r="I70" t="n">
        <v>5000</v>
      </c>
      <c r="J70" t="inlineStr"/>
    </row>
    <row r="71">
      <c r="A71" t="n">
        <v>2031</v>
      </c>
      <c r="B71" t="inlineStr">
        <is>
          <t>Oct</t>
        </is>
      </c>
      <c r="C71" t="n">
        <v>29999</v>
      </c>
      <c r="D71" t="inlineStr"/>
      <c r="E71" t="inlineStr"/>
      <c r="F71" t="inlineStr"/>
      <c r="G71" t="inlineStr"/>
      <c r="H71" t="inlineStr"/>
      <c r="I71" t="n">
        <v>5000</v>
      </c>
      <c r="J71" t="inlineStr"/>
    </row>
    <row r="72">
      <c r="A72" t="n">
        <v>2031</v>
      </c>
      <c r="B72" t="inlineStr">
        <is>
          <t>Nov</t>
        </is>
      </c>
      <c r="C72" t="n">
        <v>29999</v>
      </c>
      <c r="D72" t="inlineStr"/>
      <c r="E72" t="inlineStr"/>
      <c r="F72" t="inlineStr"/>
      <c r="G72" t="inlineStr"/>
      <c r="H72" t="inlineStr"/>
      <c r="I72" t="n">
        <v>5000</v>
      </c>
      <c r="J72" t="inlineStr"/>
    </row>
    <row r="73">
      <c r="A73" t="n">
        <v>2031</v>
      </c>
      <c r="B73" t="inlineStr">
        <is>
          <t>Dec</t>
        </is>
      </c>
      <c r="C73" t="n">
        <v>29999</v>
      </c>
      <c r="D73" t="inlineStr"/>
      <c r="E73" t="inlineStr"/>
      <c r="F73" t="inlineStr"/>
      <c r="G73" t="inlineStr"/>
      <c r="H73" t="inlineStr"/>
      <c r="I73" t="n">
        <v>5000</v>
      </c>
      <c r="J73" t="inlineStr"/>
    </row>
    <row r="74">
      <c r="A74" t="n">
        <v>2032</v>
      </c>
      <c r="B74" t="inlineStr">
        <is>
          <t>Jan</t>
        </is>
      </c>
      <c r="C74" t="n">
        <v>29999</v>
      </c>
      <c r="D74" t="inlineStr"/>
      <c r="E74" t="inlineStr"/>
      <c r="F74" t="inlineStr"/>
      <c r="G74" t="inlineStr"/>
      <c r="H74" t="inlineStr"/>
      <c r="I74" t="n">
        <v>5000</v>
      </c>
      <c r="J74" t="inlineStr"/>
    </row>
    <row r="75">
      <c r="A75" t="n">
        <v>2032</v>
      </c>
      <c r="B75" t="inlineStr">
        <is>
          <t>Feb</t>
        </is>
      </c>
      <c r="C75" t="n">
        <v>29999</v>
      </c>
      <c r="D75" t="inlineStr"/>
      <c r="E75" t="inlineStr"/>
      <c r="F75" t="inlineStr"/>
      <c r="G75" t="inlineStr"/>
      <c r="H75" t="inlineStr"/>
      <c r="I75" t="n">
        <v>5000</v>
      </c>
      <c r="J75" t="inlineStr"/>
    </row>
    <row r="76">
      <c r="A76" t="n">
        <v>2032</v>
      </c>
      <c r="B76" t="inlineStr">
        <is>
          <t>Mar</t>
        </is>
      </c>
      <c r="C76" t="n">
        <v>29999</v>
      </c>
      <c r="D76" t="inlineStr"/>
      <c r="E76" t="inlineStr"/>
      <c r="F76" t="inlineStr"/>
      <c r="G76" t="inlineStr"/>
      <c r="H76" t="inlineStr"/>
      <c r="I76" t="n">
        <v>5000</v>
      </c>
      <c r="J76" t="inlineStr"/>
    </row>
    <row r="77">
      <c r="A77" t="n">
        <v>2032</v>
      </c>
      <c r="B77" t="inlineStr">
        <is>
          <t>Apr</t>
        </is>
      </c>
      <c r="C77" t="n">
        <v>29999</v>
      </c>
      <c r="D77" t="inlineStr"/>
      <c r="E77" t="inlineStr"/>
      <c r="F77" t="inlineStr"/>
      <c r="G77" t="inlineStr"/>
      <c r="H77" t="inlineStr"/>
      <c r="I77" t="n">
        <v>5000</v>
      </c>
      <c r="J77" t="inlineStr"/>
    </row>
    <row r="78">
      <c r="A78" t="n">
        <v>2032</v>
      </c>
      <c r="B78" t="inlineStr">
        <is>
          <t>May</t>
        </is>
      </c>
      <c r="C78" t="n">
        <v>29999</v>
      </c>
      <c r="D78" t="inlineStr"/>
      <c r="E78" t="inlineStr"/>
      <c r="F78" t="inlineStr"/>
      <c r="G78" t="inlineStr"/>
      <c r="H78" t="inlineStr"/>
      <c r="I78" t="n">
        <v>5000</v>
      </c>
      <c r="J78" t="inlineStr"/>
    </row>
    <row r="79">
      <c r="A79" t="n">
        <v>2032</v>
      </c>
      <c r="B79" t="inlineStr">
        <is>
          <t>Jun</t>
        </is>
      </c>
      <c r="C79" t="n">
        <v>29999</v>
      </c>
      <c r="D79" t="inlineStr"/>
      <c r="E79" t="inlineStr"/>
      <c r="F79" t="inlineStr"/>
      <c r="G79" t="inlineStr"/>
      <c r="H79" t="inlineStr"/>
      <c r="I79" t="n">
        <v>5000</v>
      </c>
      <c r="J79" t="inlineStr"/>
    </row>
    <row r="80">
      <c r="A80" t="n">
        <v>2032</v>
      </c>
      <c r="B80" t="inlineStr">
        <is>
          <t>Jul</t>
        </is>
      </c>
      <c r="C80" t="n">
        <v>29999</v>
      </c>
      <c r="D80" t="inlineStr"/>
      <c r="E80" t="inlineStr"/>
      <c r="F80" t="inlineStr"/>
      <c r="G80" t="inlineStr"/>
      <c r="H80" t="inlineStr"/>
      <c r="I80" t="n">
        <v>5000</v>
      </c>
      <c r="J80" t="inlineStr"/>
    </row>
    <row r="81">
      <c r="A81" t="n">
        <v>2032</v>
      </c>
      <c r="B81" t="inlineStr">
        <is>
          <t>Aug</t>
        </is>
      </c>
      <c r="C81" t="n">
        <v>29999</v>
      </c>
      <c r="D81" t="inlineStr"/>
      <c r="E81" t="inlineStr"/>
      <c r="F81" t="inlineStr"/>
      <c r="G81" t="inlineStr"/>
      <c r="H81" t="inlineStr"/>
      <c r="I81" t="n">
        <v>5000</v>
      </c>
      <c r="J81" t="inlineStr"/>
    </row>
    <row r="82">
      <c r="A82" t="n">
        <v>2032</v>
      </c>
      <c r="B82" t="inlineStr">
        <is>
          <t>Sep</t>
        </is>
      </c>
      <c r="C82" t="n">
        <v>29999</v>
      </c>
      <c r="D82" t="inlineStr"/>
      <c r="E82" t="inlineStr"/>
      <c r="F82" t="inlineStr"/>
      <c r="G82" t="inlineStr"/>
      <c r="H82" t="inlineStr"/>
      <c r="I82" t="n">
        <v>5000</v>
      </c>
      <c r="J82" t="inlineStr"/>
    </row>
    <row r="83">
      <c r="A83" t="n">
        <v>2032</v>
      </c>
      <c r="B83" t="inlineStr">
        <is>
          <t>Oct</t>
        </is>
      </c>
      <c r="C83" t="n">
        <v>29999</v>
      </c>
      <c r="D83" t="inlineStr"/>
      <c r="E83" t="inlineStr"/>
      <c r="F83" t="inlineStr"/>
      <c r="G83" t="inlineStr"/>
      <c r="H83" t="inlineStr"/>
      <c r="I83" t="n">
        <v>5000</v>
      </c>
      <c r="J83" t="inlineStr"/>
    </row>
    <row r="84">
      <c r="A84" t="n">
        <v>2032</v>
      </c>
      <c r="B84" t="inlineStr">
        <is>
          <t>Nov</t>
        </is>
      </c>
      <c r="C84" t="n">
        <v>29999</v>
      </c>
      <c r="D84" t="inlineStr"/>
      <c r="E84" t="inlineStr"/>
      <c r="F84" t="inlineStr"/>
      <c r="G84" t="inlineStr"/>
      <c r="H84" t="inlineStr"/>
      <c r="I84" t="n">
        <v>5000</v>
      </c>
      <c r="J84" t="inlineStr"/>
    </row>
    <row r="85">
      <c r="A85" t="n">
        <v>2032</v>
      </c>
      <c r="B85" t="inlineStr">
        <is>
          <t>Dec</t>
        </is>
      </c>
      <c r="C85" t="n">
        <v>29999</v>
      </c>
      <c r="D85" t="inlineStr"/>
      <c r="E85" t="inlineStr"/>
      <c r="F85" t="inlineStr"/>
      <c r="G85" t="inlineStr"/>
      <c r="H85" t="inlineStr"/>
      <c r="I85" t="n">
        <v>5000</v>
      </c>
      <c r="J85" t="inlineStr"/>
    </row>
    <row r="86">
      <c r="A86" t="n">
        <v>2033</v>
      </c>
      <c r="B86" t="inlineStr">
        <is>
          <t>Jan</t>
        </is>
      </c>
      <c r="C86" t="n">
        <v>29999</v>
      </c>
      <c r="D86" t="inlineStr"/>
      <c r="E86" t="inlineStr"/>
      <c r="F86" t="inlineStr"/>
      <c r="G86" t="inlineStr"/>
      <c r="H86" t="inlineStr"/>
      <c r="I86" t="n">
        <v>5000</v>
      </c>
      <c r="J86" t="inlineStr"/>
    </row>
    <row r="87">
      <c r="A87" t="n">
        <v>2033</v>
      </c>
      <c r="B87" t="inlineStr">
        <is>
          <t>Feb</t>
        </is>
      </c>
      <c r="C87" t="n">
        <v>29999</v>
      </c>
      <c r="D87" t="inlineStr"/>
      <c r="E87" t="inlineStr"/>
      <c r="F87" t="inlineStr"/>
      <c r="G87" t="inlineStr"/>
      <c r="H87" t="inlineStr"/>
      <c r="I87" t="n">
        <v>5000</v>
      </c>
      <c r="J87" t="inlineStr"/>
    </row>
    <row r="88">
      <c r="A88" t="n">
        <v>2033</v>
      </c>
      <c r="B88" t="inlineStr">
        <is>
          <t>Mar</t>
        </is>
      </c>
      <c r="C88" t="n">
        <v>29999</v>
      </c>
      <c r="D88" t="inlineStr"/>
      <c r="E88" t="inlineStr"/>
      <c r="F88" t="inlineStr"/>
      <c r="G88" t="inlineStr"/>
      <c r="H88" t="inlineStr"/>
      <c r="I88" t="n">
        <v>5000</v>
      </c>
      <c r="J88" t="inlineStr"/>
    </row>
    <row r="89">
      <c r="A89" t="n">
        <v>2033</v>
      </c>
      <c r="B89" t="inlineStr">
        <is>
          <t>Apr</t>
        </is>
      </c>
      <c r="C89" t="n">
        <v>29999</v>
      </c>
      <c r="D89" t="inlineStr"/>
      <c r="E89" t="inlineStr"/>
      <c r="F89" t="inlineStr"/>
      <c r="G89" t="inlineStr"/>
      <c r="H89" t="inlineStr"/>
      <c r="I89" t="n">
        <v>5000</v>
      </c>
      <c r="J89" t="inlineStr"/>
    </row>
    <row r="90">
      <c r="A90" t="n">
        <v>2033</v>
      </c>
      <c r="B90" t="inlineStr">
        <is>
          <t>May</t>
        </is>
      </c>
      <c r="C90" t="n">
        <v>29999</v>
      </c>
      <c r="D90" t="inlineStr"/>
      <c r="E90" t="inlineStr"/>
      <c r="F90" t="inlineStr"/>
      <c r="G90" t="inlineStr"/>
      <c r="H90" t="inlineStr"/>
      <c r="I90" t="n">
        <v>5000</v>
      </c>
      <c r="J90" t="inlineStr"/>
    </row>
    <row r="91">
      <c r="A91" t="n">
        <v>2033</v>
      </c>
      <c r="B91" t="inlineStr">
        <is>
          <t>Jun</t>
        </is>
      </c>
      <c r="C91" t="n">
        <v>29999</v>
      </c>
      <c r="D91" t="inlineStr"/>
      <c r="E91" t="inlineStr"/>
      <c r="F91" t="inlineStr"/>
      <c r="G91" t="inlineStr"/>
      <c r="H91" t="inlineStr"/>
      <c r="I91" t="n">
        <v>5000</v>
      </c>
      <c r="J91" t="inlineStr"/>
    </row>
    <row r="92">
      <c r="A92" t="n">
        <v>2033</v>
      </c>
      <c r="B92" t="inlineStr">
        <is>
          <t>Jul</t>
        </is>
      </c>
      <c r="C92" t="n">
        <v>29999</v>
      </c>
      <c r="D92" t="inlineStr"/>
      <c r="E92" t="inlineStr"/>
      <c r="F92" t="inlineStr"/>
      <c r="G92" t="inlineStr"/>
      <c r="H92" t="inlineStr"/>
      <c r="I92" t="n">
        <v>5000</v>
      </c>
      <c r="J92" t="inlineStr"/>
    </row>
    <row r="93">
      <c r="A93" t="n">
        <v>2033</v>
      </c>
      <c r="B93" t="inlineStr">
        <is>
          <t>Aug</t>
        </is>
      </c>
      <c r="C93" t="n">
        <v>29999</v>
      </c>
      <c r="D93" t="inlineStr"/>
      <c r="E93" t="inlineStr"/>
      <c r="F93" t="inlineStr"/>
      <c r="G93" t="inlineStr"/>
      <c r="H93" t="inlineStr"/>
      <c r="I93" t="n">
        <v>5000</v>
      </c>
      <c r="J93" t="inlineStr"/>
    </row>
    <row r="94">
      <c r="A94" t="n">
        <v>2033</v>
      </c>
      <c r="B94" t="inlineStr">
        <is>
          <t>Sep</t>
        </is>
      </c>
      <c r="C94" t="n">
        <v>29999</v>
      </c>
      <c r="D94" t="inlineStr"/>
      <c r="E94" t="inlineStr"/>
      <c r="F94" t="inlineStr"/>
      <c r="G94" t="inlineStr"/>
      <c r="H94" t="inlineStr"/>
      <c r="I94" t="n">
        <v>5000</v>
      </c>
      <c r="J94" t="inlineStr"/>
    </row>
    <row r="95">
      <c r="A95" t="n">
        <v>2033</v>
      </c>
      <c r="B95" t="inlineStr">
        <is>
          <t>Oct</t>
        </is>
      </c>
      <c r="C95" t="n">
        <v>29999</v>
      </c>
      <c r="D95" t="inlineStr"/>
      <c r="E95" t="inlineStr"/>
      <c r="F95" t="inlineStr"/>
      <c r="G95" t="inlineStr"/>
      <c r="H95" t="inlineStr"/>
      <c r="I95" t="n">
        <v>5000</v>
      </c>
      <c r="J95" t="inlineStr"/>
    </row>
    <row r="96">
      <c r="A96" t="n">
        <v>2033</v>
      </c>
      <c r="B96" t="inlineStr">
        <is>
          <t>Nov</t>
        </is>
      </c>
      <c r="C96" t="n">
        <v>29999</v>
      </c>
      <c r="D96" t="inlineStr"/>
      <c r="E96" t="inlineStr"/>
      <c r="F96" t="inlineStr"/>
      <c r="G96" t="inlineStr"/>
      <c r="H96" t="inlineStr"/>
      <c r="I96" t="n">
        <v>5000</v>
      </c>
      <c r="J96" t="inlineStr"/>
    </row>
    <row r="97">
      <c r="A97" t="n">
        <v>2033</v>
      </c>
      <c r="B97" t="inlineStr">
        <is>
          <t>Dec</t>
        </is>
      </c>
      <c r="C97" t="n">
        <v>29999</v>
      </c>
      <c r="D97" t="inlineStr"/>
      <c r="E97" t="inlineStr"/>
      <c r="F97" t="inlineStr"/>
      <c r="G97" t="inlineStr"/>
      <c r="H97" t="inlineStr"/>
      <c r="I97" t="n">
        <v>5000</v>
      </c>
      <c r="J97" t="inlineStr"/>
    </row>
    <row r="98">
      <c r="A98" t="n">
        <v>2034</v>
      </c>
      <c r="B98" t="inlineStr">
        <is>
          <t>Jan</t>
        </is>
      </c>
      <c r="C98" t="n">
        <v>29999</v>
      </c>
      <c r="D98" t="inlineStr"/>
      <c r="E98" t="inlineStr"/>
      <c r="F98" t="inlineStr"/>
      <c r="G98" t="inlineStr"/>
      <c r="H98" t="inlineStr"/>
      <c r="I98" t="n">
        <v>5000</v>
      </c>
      <c r="J98" t="inlineStr"/>
    </row>
    <row r="99">
      <c r="A99" t="n">
        <v>2034</v>
      </c>
      <c r="B99" t="inlineStr">
        <is>
          <t>Feb</t>
        </is>
      </c>
      <c r="C99" t="n">
        <v>29999</v>
      </c>
      <c r="D99" t="inlineStr"/>
      <c r="E99" t="inlineStr"/>
      <c r="F99" t="inlineStr"/>
      <c r="G99" t="inlineStr"/>
      <c r="H99" t="inlineStr"/>
      <c r="I99" t="n">
        <v>5000</v>
      </c>
      <c r="J99" t="inlineStr"/>
    </row>
    <row r="100">
      <c r="A100" t="n">
        <v>2034</v>
      </c>
      <c r="B100" t="inlineStr">
        <is>
          <t>Mar</t>
        </is>
      </c>
      <c r="C100" t="n">
        <v>29999</v>
      </c>
      <c r="D100" t="inlineStr"/>
      <c r="E100" t="inlineStr"/>
      <c r="F100" t="inlineStr"/>
      <c r="G100" t="inlineStr"/>
      <c r="H100" t="inlineStr"/>
      <c r="I100" t="n">
        <v>5000</v>
      </c>
      <c r="J100" t="inlineStr"/>
    </row>
    <row r="101">
      <c r="A101" t="n">
        <v>2034</v>
      </c>
      <c r="B101" t="inlineStr">
        <is>
          <t>Apr</t>
        </is>
      </c>
      <c r="C101" t="n">
        <v>29999</v>
      </c>
      <c r="D101" t="inlineStr"/>
      <c r="E101" t="inlineStr"/>
      <c r="F101" t="inlineStr"/>
      <c r="G101" t="inlineStr"/>
      <c r="H101" t="inlineStr"/>
      <c r="I101" t="n">
        <v>5000</v>
      </c>
      <c r="J101" t="inlineStr"/>
    </row>
    <row r="102">
      <c r="A102" t="n">
        <v>2034</v>
      </c>
      <c r="B102" t="inlineStr">
        <is>
          <t>May</t>
        </is>
      </c>
      <c r="C102" t="n">
        <v>29999</v>
      </c>
      <c r="D102" t="inlineStr"/>
      <c r="E102" t="inlineStr"/>
      <c r="F102" t="inlineStr"/>
      <c r="G102" t="inlineStr"/>
      <c r="H102" t="inlineStr"/>
      <c r="I102" t="n">
        <v>5000</v>
      </c>
      <c r="J102" t="inlineStr"/>
    </row>
    <row r="103">
      <c r="A103" t="n">
        <v>2034</v>
      </c>
      <c r="B103" t="inlineStr">
        <is>
          <t>Jun</t>
        </is>
      </c>
      <c r="C103" t="n">
        <v>29999</v>
      </c>
      <c r="D103" t="inlineStr"/>
      <c r="E103" t="inlineStr"/>
      <c r="F103" t="inlineStr"/>
      <c r="G103" t="inlineStr"/>
      <c r="H103" t="inlineStr"/>
      <c r="I103" t="n">
        <v>5000</v>
      </c>
      <c r="J103" t="inlineStr"/>
    </row>
    <row r="104">
      <c r="A104" t="n">
        <v>2034</v>
      </c>
      <c r="B104" t="inlineStr">
        <is>
          <t>Jul</t>
        </is>
      </c>
      <c r="C104" t="n">
        <v>29999</v>
      </c>
      <c r="D104" t="inlineStr"/>
      <c r="E104" t="inlineStr"/>
      <c r="F104" t="inlineStr"/>
      <c r="G104" t="inlineStr"/>
      <c r="H104" t="inlineStr"/>
      <c r="I104" t="n">
        <v>5000</v>
      </c>
      <c r="J104" t="inlineStr"/>
    </row>
    <row r="105">
      <c r="A105" t="n">
        <v>2034</v>
      </c>
      <c r="B105" t="inlineStr">
        <is>
          <t>Aug</t>
        </is>
      </c>
      <c r="C105" t="n">
        <v>29999</v>
      </c>
      <c r="D105" t="inlineStr"/>
      <c r="E105" t="inlineStr"/>
      <c r="F105" t="inlineStr"/>
      <c r="G105" t="inlineStr"/>
      <c r="H105" t="inlineStr"/>
      <c r="I105" t="n">
        <v>5000</v>
      </c>
      <c r="J105" t="inlineStr"/>
    </row>
    <row r="106">
      <c r="A106" t="n">
        <v>2034</v>
      </c>
      <c r="B106" t="inlineStr">
        <is>
          <t>Sep</t>
        </is>
      </c>
      <c r="C106" t="n">
        <v>29999</v>
      </c>
      <c r="D106" t="inlineStr"/>
      <c r="E106" t="inlineStr"/>
      <c r="F106" t="inlineStr"/>
      <c r="G106" t="inlineStr"/>
      <c r="H106" t="inlineStr"/>
      <c r="I106" t="n">
        <v>5000</v>
      </c>
      <c r="J106" t="inlineStr"/>
    </row>
    <row r="107">
      <c r="A107" t="n">
        <v>2034</v>
      </c>
      <c r="B107" t="inlineStr">
        <is>
          <t>Oct</t>
        </is>
      </c>
      <c r="C107" t="n">
        <v>29999</v>
      </c>
      <c r="D107" t="inlineStr"/>
      <c r="E107" t="inlineStr"/>
      <c r="F107" t="inlineStr"/>
      <c r="G107" t="inlineStr"/>
      <c r="H107" t="inlineStr"/>
      <c r="I107" t="n">
        <v>5000</v>
      </c>
      <c r="J107" t="inlineStr"/>
    </row>
    <row r="108">
      <c r="A108" t="n">
        <v>2034</v>
      </c>
      <c r="B108" t="inlineStr">
        <is>
          <t>Nov</t>
        </is>
      </c>
      <c r="C108" t="n">
        <v>29999</v>
      </c>
      <c r="D108" t="inlineStr"/>
      <c r="E108" t="inlineStr"/>
      <c r="F108" t="inlineStr"/>
      <c r="G108" t="inlineStr"/>
      <c r="H108" t="inlineStr"/>
      <c r="I108" t="n">
        <v>5000</v>
      </c>
      <c r="J108" t="inlineStr"/>
    </row>
    <row r="109">
      <c r="A109" t="n">
        <v>2034</v>
      </c>
      <c r="B109" t="inlineStr">
        <is>
          <t>Dec</t>
        </is>
      </c>
      <c r="C109" t="n">
        <v>29999</v>
      </c>
      <c r="D109" t="inlineStr"/>
      <c r="E109" t="inlineStr"/>
      <c r="F109" t="inlineStr"/>
      <c r="G109" t="inlineStr"/>
      <c r="H109" t="inlineStr"/>
      <c r="I109" t="n">
        <v>5000</v>
      </c>
      <c r="J109" t="inlineStr"/>
    </row>
    <row r="110">
      <c r="A110" t="n">
        <v>2035</v>
      </c>
      <c r="B110" t="inlineStr">
        <is>
          <t>Jan</t>
        </is>
      </c>
      <c r="C110" t="n">
        <v>29999</v>
      </c>
      <c r="D110" t="inlineStr"/>
      <c r="E110" t="inlineStr"/>
      <c r="F110" t="inlineStr"/>
      <c r="G110" t="inlineStr"/>
      <c r="H110" t="inlineStr"/>
      <c r="I110" t="n">
        <v>5000</v>
      </c>
      <c r="J110" t="inlineStr"/>
    </row>
    <row r="111">
      <c r="A111" t="n">
        <v>2035</v>
      </c>
      <c r="B111" t="inlineStr">
        <is>
          <t>Feb</t>
        </is>
      </c>
      <c r="C111" t="n">
        <v>29999</v>
      </c>
      <c r="D111" t="inlineStr"/>
      <c r="E111" t="inlineStr"/>
      <c r="F111" t="inlineStr"/>
      <c r="G111" t="inlineStr"/>
      <c r="H111" t="inlineStr"/>
      <c r="I111" t="n">
        <v>5000</v>
      </c>
      <c r="J111" t="inlineStr"/>
    </row>
    <row r="112">
      <c r="A112" t="n">
        <v>2035</v>
      </c>
      <c r="B112" t="inlineStr">
        <is>
          <t>Mar</t>
        </is>
      </c>
      <c r="C112" t="n">
        <v>29999</v>
      </c>
      <c r="D112" t="inlineStr"/>
      <c r="E112" t="inlineStr"/>
      <c r="F112" t="inlineStr"/>
      <c r="G112" t="inlineStr"/>
      <c r="H112" t="inlineStr"/>
      <c r="I112" t="n">
        <v>5000</v>
      </c>
      <c r="J112" t="inlineStr"/>
    </row>
    <row r="113">
      <c r="A113" t="n">
        <v>2035</v>
      </c>
      <c r="B113" t="inlineStr">
        <is>
          <t>Apr</t>
        </is>
      </c>
      <c r="C113" t="n">
        <v>29999</v>
      </c>
      <c r="D113" t="inlineStr"/>
      <c r="E113" t="inlineStr"/>
      <c r="F113" t="inlineStr"/>
      <c r="G113" t="inlineStr"/>
      <c r="H113" t="inlineStr"/>
      <c r="I113" t="n">
        <v>5000</v>
      </c>
      <c r="J113" t="inlineStr"/>
    </row>
    <row r="114">
      <c r="A114" t="n">
        <v>2035</v>
      </c>
      <c r="B114" t="inlineStr">
        <is>
          <t>May</t>
        </is>
      </c>
      <c r="C114" t="n">
        <v>29999</v>
      </c>
      <c r="D114" t="inlineStr"/>
      <c r="E114" t="inlineStr"/>
      <c r="F114" t="inlineStr"/>
      <c r="G114" t="inlineStr"/>
      <c r="H114" t="inlineStr"/>
      <c r="I114" t="n">
        <v>5000</v>
      </c>
      <c r="J114" t="inlineStr"/>
    </row>
    <row r="115">
      <c r="A115" t="n">
        <v>2035</v>
      </c>
      <c r="B115" t="inlineStr">
        <is>
          <t>Jun</t>
        </is>
      </c>
      <c r="C115" t="n">
        <v>29999</v>
      </c>
      <c r="D115" t="inlineStr"/>
      <c r="E115" t="inlineStr"/>
      <c r="F115" t="inlineStr"/>
      <c r="G115" t="inlineStr"/>
      <c r="H115" t="inlineStr"/>
      <c r="I115" t="n">
        <v>5000</v>
      </c>
      <c r="J115" t="inlineStr"/>
    </row>
    <row r="116">
      <c r="A116" t="n">
        <v>2035</v>
      </c>
      <c r="B116" t="inlineStr">
        <is>
          <t>Jul</t>
        </is>
      </c>
      <c r="C116" t="n">
        <v>29999</v>
      </c>
      <c r="D116" t="inlineStr"/>
      <c r="E116" t="inlineStr"/>
      <c r="F116" t="inlineStr"/>
      <c r="G116" t="inlineStr"/>
      <c r="H116" t="inlineStr"/>
      <c r="I116" t="n">
        <v>5000</v>
      </c>
      <c r="J116" t="inlineStr"/>
    </row>
    <row r="117">
      <c r="A117" t="n">
        <v>2035</v>
      </c>
      <c r="B117" t="inlineStr">
        <is>
          <t>Aug</t>
        </is>
      </c>
      <c r="C117" t="n">
        <v>29999</v>
      </c>
      <c r="D117" t="inlineStr"/>
      <c r="E117" t="inlineStr"/>
      <c r="F117" t="inlineStr"/>
      <c r="G117" t="inlineStr"/>
      <c r="H117" t="inlineStr"/>
      <c r="I117" t="n">
        <v>5000</v>
      </c>
      <c r="J117" t="inlineStr"/>
    </row>
    <row r="118">
      <c r="A118" t="n">
        <v>2035</v>
      </c>
      <c r="B118" t="inlineStr">
        <is>
          <t>Sep</t>
        </is>
      </c>
      <c r="C118" t="n">
        <v>29999</v>
      </c>
      <c r="D118" t="inlineStr"/>
      <c r="E118" t="inlineStr"/>
      <c r="F118" t="inlineStr"/>
      <c r="G118" t="inlineStr"/>
      <c r="H118" t="inlineStr"/>
      <c r="I118" t="n">
        <v>5000</v>
      </c>
      <c r="J118" t="inlineStr"/>
    </row>
    <row r="119">
      <c r="A119" t="n">
        <v>2035</v>
      </c>
      <c r="B119" t="inlineStr">
        <is>
          <t>Oct</t>
        </is>
      </c>
      <c r="C119" t="n">
        <v>29999</v>
      </c>
      <c r="D119" t="inlineStr"/>
      <c r="E119" t="inlineStr"/>
      <c r="F119" t="inlineStr"/>
      <c r="G119" t="inlineStr"/>
      <c r="H119" t="inlineStr"/>
      <c r="I119" t="n">
        <v>5000</v>
      </c>
      <c r="J119" t="inlineStr"/>
    </row>
    <row r="120">
      <c r="A120" t="n">
        <v>2035</v>
      </c>
      <c r="B120" t="inlineStr">
        <is>
          <t>Nov</t>
        </is>
      </c>
      <c r="C120" t="n">
        <v>29999</v>
      </c>
      <c r="D120" t="inlineStr"/>
      <c r="E120" t="inlineStr"/>
      <c r="F120" t="inlineStr"/>
      <c r="G120" t="inlineStr"/>
      <c r="H120" t="inlineStr"/>
      <c r="I120" t="n">
        <v>5000</v>
      </c>
      <c r="J120" t="inlineStr"/>
    </row>
    <row r="121">
      <c r="A121" t="n">
        <v>2035</v>
      </c>
      <c r="B121" t="inlineStr">
        <is>
          <t>Dec</t>
        </is>
      </c>
      <c r="C121" t="n">
        <v>29999</v>
      </c>
      <c r="D121" t="inlineStr"/>
      <c r="E121" t="inlineStr"/>
      <c r="F121" t="inlineStr"/>
      <c r="G121" t="inlineStr"/>
      <c r="H121" t="inlineStr"/>
      <c r="I121" t="n">
        <v>5000</v>
      </c>
      <c r="J121" t="inlineStr"/>
    </row>
    <row r="122">
      <c r="A122" t="n">
        <v>2036</v>
      </c>
      <c r="B122" t="inlineStr">
        <is>
          <t>Jan</t>
        </is>
      </c>
      <c r="C122" t="n">
        <v>29999</v>
      </c>
      <c r="D122" t="inlineStr"/>
      <c r="E122" t="inlineStr"/>
      <c r="F122" t="inlineStr"/>
      <c r="G122" t="inlineStr"/>
      <c r="H122" t="inlineStr"/>
      <c r="I122" t="n">
        <v>5000</v>
      </c>
      <c r="J122" t="inlineStr"/>
    </row>
    <row r="123">
      <c r="A123" t="n">
        <v>2036</v>
      </c>
      <c r="B123" t="inlineStr">
        <is>
          <t>Feb</t>
        </is>
      </c>
      <c r="C123" t="n">
        <v>29999</v>
      </c>
      <c r="D123" t="inlineStr"/>
      <c r="E123" t="inlineStr"/>
      <c r="F123" t="inlineStr"/>
      <c r="G123" t="inlineStr"/>
      <c r="H123" t="inlineStr"/>
      <c r="I123" t="n">
        <v>5000</v>
      </c>
      <c r="J123" t="inlineStr"/>
    </row>
    <row r="124">
      <c r="A124" t="n">
        <v>2036</v>
      </c>
      <c r="B124" t="inlineStr">
        <is>
          <t>Mar</t>
        </is>
      </c>
      <c r="C124" t="n">
        <v>29999</v>
      </c>
      <c r="D124" t="inlineStr"/>
      <c r="E124" t="inlineStr"/>
      <c r="F124" t="inlineStr"/>
      <c r="G124" t="inlineStr"/>
      <c r="H124" t="inlineStr"/>
      <c r="I124" t="n">
        <v>5000</v>
      </c>
      <c r="J124" t="inlineStr"/>
    </row>
    <row r="125">
      <c r="A125" t="n">
        <v>2036</v>
      </c>
      <c r="B125" t="inlineStr">
        <is>
          <t>Apr</t>
        </is>
      </c>
      <c r="C125" t="n">
        <v>29999</v>
      </c>
      <c r="D125" t="inlineStr"/>
      <c r="E125" t="inlineStr"/>
      <c r="F125" t="inlineStr"/>
      <c r="G125" t="inlineStr"/>
      <c r="H125" t="inlineStr"/>
      <c r="I125" t="n">
        <v>5000</v>
      </c>
      <c r="J125" t="inlineStr"/>
    </row>
    <row r="126">
      <c r="A126" t="n">
        <v>2036</v>
      </c>
      <c r="B126" t="inlineStr">
        <is>
          <t>May</t>
        </is>
      </c>
      <c r="C126" t="n">
        <v>29999</v>
      </c>
      <c r="D126" t="inlineStr"/>
      <c r="E126" t="inlineStr"/>
      <c r="F126" t="inlineStr"/>
      <c r="G126" t="inlineStr"/>
      <c r="H126" t="inlineStr"/>
      <c r="I126" t="n">
        <v>5000</v>
      </c>
      <c r="J126" t="inlineStr"/>
    </row>
    <row r="127">
      <c r="A127" t="n">
        <v>2036</v>
      </c>
      <c r="B127" t="inlineStr">
        <is>
          <t>Jun</t>
        </is>
      </c>
      <c r="C127" t="n">
        <v>29999</v>
      </c>
      <c r="D127" t="inlineStr"/>
      <c r="E127" t="inlineStr"/>
      <c r="F127" t="inlineStr"/>
      <c r="G127" t="inlineStr"/>
      <c r="H127" t="inlineStr"/>
      <c r="I127" t="n">
        <v>5000</v>
      </c>
      <c r="J127" t="inlineStr"/>
    </row>
    <row r="128">
      <c r="A128" t="n">
        <v>2036</v>
      </c>
      <c r="B128" t="inlineStr">
        <is>
          <t>Jul</t>
        </is>
      </c>
      <c r="C128" t="n">
        <v>29999</v>
      </c>
      <c r="D128" t="inlineStr"/>
      <c r="E128" t="inlineStr"/>
      <c r="F128" t="inlineStr"/>
      <c r="G128" t="inlineStr"/>
      <c r="H128" t="inlineStr"/>
      <c r="I128" t="n">
        <v>5000</v>
      </c>
      <c r="J128" t="inlineStr"/>
    </row>
    <row r="129">
      <c r="A129" t="n">
        <v>2036</v>
      </c>
      <c r="B129" t="inlineStr">
        <is>
          <t>Aug</t>
        </is>
      </c>
      <c r="C129" t="n">
        <v>29999</v>
      </c>
      <c r="D129" t="inlineStr"/>
      <c r="E129" t="inlineStr"/>
      <c r="F129" t="inlineStr"/>
      <c r="G129" t="inlineStr"/>
      <c r="H129" t="inlineStr"/>
      <c r="I129" t="n">
        <v>5000</v>
      </c>
      <c r="J129" t="inlineStr"/>
    </row>
    <row r="130">
      <c r="A130" t="n">
        <v>2036</v>
      </c>
      <c r="B130" t="inlineStr">
        <is>
          <t>Sep</t>
        </is>
      </c>
      <c r="C130" t="n">
        <v>29999</v>
      </c>
      <c r="D130" t="inlineStr"/>
      <c r="E130" t="inlineStr"/>
      <c r="F130" t="inlineStr"/>
      <c r="G130" t="inlineStr"/>
      <c r="H130" t="inlineStr"/>
      <c r="I130" t="n">
        <v>5000</v>
      </c>
      <c r="J130" t="inlineStr"/>
    </row>
    <row r="131">
      <c r="A131" t="n">
        <v>2036</v>
      </c>
      <c r="B131" t="inlineStr">
        <is>
          <t>Oct</t>
        </is>
      </c>
      <c r="C131" t="n">
        <v>29999</v>
      </c>
      <c r="D131" t="inlineStr"/>
      <c r="E131" t="inlineStr"/>
      <c r="F131" t="inlineStr"/>
      <c r="G131" t="inlineStr"/>
      <c r="H131" t="inlineStr"/>
      <c r="I131" t="n">
        <v>5000</v>
      </c>
      <c r="J131" t="inlineStr"/>
    </row>
    <row r="132">
      <c r="A132" t="n">
        <v>2036</v>
      </c>
      <c r="B132" t="inlineStr">
        <is>
          <t>Nov</t>
        </is>
      </c>
      <c r="C132" t="n">
        <v>29999</v>
      </c>
      <c r="D132" t="inlineStr"/>
      <c r="E132" t="inlineStr"/>
      <c r="F132" t="inlineStr"/>
      <c r="G132" t="inlineStr"/>
      <c r="H132" t="inlineStr"/>
      <c r="I132" t="n">
        <v>5000</v>
      </c>
      <c r="J132" t="inlineStr"/>
    </row>
    <row r="133">
      <c r="A133" t="n">
        <v>2036</v>
      </c>
      <c r="B133" t="inlineStr">
        <is>
          <t>Dec</t>
        </is>
      </c>
      <c r="C133" t="n">
        <v>29999</v>
      </c>
      <c r="D133" t="inlineStr"/>
      <c r="E133" t="inlineStr"/>
      <c r="F133" t="inlineStr"/>
      <c r="G133" t="inlineStr"/>
      <c r="H133" t="inlineStr"/>
      <c r="I133" t="n">
        <v>5000</v>
      </c>
      <c r="J133" t="inlineStr"/>
    </row>
    <row r="134">
      <c r="A134" t="n">
        <v>2037</v>
      </c>
      <c r="B134" t="inlineStr">
        <is>
          <t>Jan</t>
        </is>
      </c>
      <c r="C134" t="n">
        <v>29999</v>
      </c>
      <c r="D134" t="inlineStr"/>
      <c r="E134" t="inlineStr"/>
      <c r="F134" t="inlineStr"/>
      <c r="G134" t="inlineStr"/>
      <c r="H134" t="inlineStr"/>
      <c r="I134" t="n">
        <v>5000</v>
      </c>
      <c r="J134" t="inlineStr"/>
    </row>
    <row r="135">
      <c r="A135" t="n">
        <v>2037</v>
      </c>
      <c r="B135" t="inlineStr">
        <is>
          <t>Feb</t>
        </is>
      </c>
      <c r="C135" t="n">
        <v>29999</v>
      </c>
      <c r="D135" t="inlineStr"/>
      <c r="E135" t="inlineStr"/>
      <c r="F135" t="inlineStr"/>
      <c r="G135" t="inlineStr"/>
      <c r="H135" t="inlineStr"/>
      <c r="I135" t="n">
        <v>5000</v>
      </c>
      <c r="J135" t="inlineStr"/>
    </row>
    <row r="136">
      <c r="A136" t="n">
        <v>2037</v>
      </c>
      <c r="B136" t="inlineStr">
        <is>
          <t>Mar</t>
        </is>
      </c>
      <c r="C136" t="n">
        <v>29999</v>
      </c>
      <c r="D136" t="inlineStr"/>
      <c r="E136" t="inlineStr"/>
      <c r="F136" t="inlineStr"/>
      <c r="G136" t="inlineStr"/>
      <c r="H136" t="inlineStr"/>
      <c r="I136" t="n">
        <v>5000</v>
      </c>
      <c r="J136" t="inlineStr"/>
    </row>
    <row r="137">
      <c r="A137" t="n">
        <v>2037</v>
      </c>
      <c r="B137" t="inlineStr">
        <is>
          <t>Apr</t>
        </is>
      </c>
      <c r="C137" t="n">
        <v>29999</v>
      </c>
      <c r="D137" t="inlineStr"/>
      <c r="E137" t="inlineStr"/>
      <c r="F137" t="inlineStr"/>
      <c r="G137" t="inlineStr"/>
      <c r="H137" t="inlineStr"/>
      <c r="I137" t="n">
        <v>5000</v>
      </c>
      <c r="J137" t="inlineStr"/>
    </row>
    <row r="138">
      <c r="A138" t="n">
        <v>2037</v>
      </c>
      <c r="B138" t="inlineStr">
        <is>
          <t>May</t>
        </is>
      </c>
      <c r="C138" t="n">
        <v>29999</v>
      </c>
      <c r="D138" t="inlineStr"/>
      <c r="E138" t="inlineStr"/>
      <c r="F138" t="inlineStr"/>
      <c r="G138" t="inlineStr"/>
      <c r="H138" t="inlineStr"/>
      <c r="I138" t="n">
        <v>5000</v>
      </c>
      <c r="J138" t="inlineStr"/>
    </row>
    <row r="139">
      <c r="A139" t="n">
        <v>2037</v>
      </c>
      <c r="B139" t="inlineStr">
        <is>
          <t>Jun</t>
        </is>
      </c>
      <c r="C139" t="n">
        <v>29999</v>
      </c>
      <c r="D139" t="inlineStr"/>
      <c r="E139" t="inlineStr"/>
      <c r="F139" t="inlineStr"/>
      <c r="G139" t="inlineStr"/>
      <c r="H139" t="inlineStr"/>
      <c r="I139" t="n">
        <v>5000</v>
      </c>
      <c r="J139" t="inlineStr"/>
    </row>
    <row r="140">
      <c r="A140" t="n">
        <v>2037</v>
      </c>
      <c r="B140" t="inlineStr">
        <is>
          <t>Jul</t>
        </is>
      </c>
      <c r="C140" t="n">
        <v>29999</v>
      </c>
      <c r="D140" t="inlineStr"/>
      <c r="E140" t="inlineStr"/>
      <c r="F140" t="inlineStr"/>
      <c r="G140" t="inlineStr"/>
      <c r="H140" t="inlineStr"/>
      <c r="I140" t="n">
        <v>5000</v>
      </c>
      <c r="J140" t="inlineStr"/>
    </row>
    <row r="141">
      <c r="A141" t="n">
        <v>2037</v>
      </c>
      <c r="B141" t="inlineStr">
        <is>
          <t>Aug</t>
        </is>
      </c>
      <c r="C141" t="n">
        <v>29999</v>
      </c>
      <c r="D141" t="inlineStr"/>
      <c r="E141" t="inlineStr"/>
      <c r="F141" t="inlineStr"/>
      <c r="G141" t="inlineStr"/>
      <c r="H141" t="inlineStr"/>
      <c r="I141" t="n">
        <v>5000</v>
      </c>
      <c r="J141" t="inlineStr"/>
    </row>
    <row r="142">
      <c r="A142" t="n">
        <v>2037</v>
      </c>
      <c r="B142" t="inlineStr">
        <is>
          <t>Sep</t>
        </is>
      </c>
      <c r="C142" t="n">
        <v>29999</v>
      </c>
      <c r="D142" t="inlineStr"/>
      <c r="E142" t="inlineStr"/>
      <c r="F142" t="inlineStr"/>
      <c r="G142" t="inlineStr"/>
      <c r="H142" t="inlineStr"/>
      <c r="I142" t="n">
        <v>5000</v>
      </c>
      <c r="J142" t="inlineStr"/>
    </row>
    <row r="143">
      <c r="A143" t="n">
        <v>2037</v>
      </c>
      <c r="B143" t="inlineStr">
        <is>
          <t>Oct</t>
        </is>
      </c>
      <c r="C143" t="n">
        <v>29999</v>
      </c>
      <c r="D143" t="inlineStr"/>
      <c r="E143" t="inlineStr"/>
      <c r="F143" t="inlineStr"/>
      <c r="G143" t="inlineStr"/>
      <c r="H143" t="inlineStr"/>
      <c r="I143" t="n">
        <v>5000</v>
      </c>
      <c r="J143" t="inlineStr"/>
    </row>
    <row r="144">
      <c r="A144" t="n">
        <v>2037</v>
      </c>
      <c r="B144" t="inlineStr">
        <is>
          <t>Nov</t>
        </is>
      </c>
      <c r="C144" t="n">
        <v>29999</v>
      </c>
      <c r="D144" t="inlineStr"/>
      <c r="E144" t="inlineStr"/>
      <c r="F144" t="inlineStr"/>
      <c r="G144" t="inlineStr"/>
      <c r="H144" t="inlineStr"/>
      <c r="I144" t="n">
        <v>5000</v>
      </c>
      <c r="J144" t="inlineStr"/>
    </row>
    <row r="145">
      <c r="A145" t="n">
        <v>2037</v>
      </c>
      <c r="B145" t="inlineStr">
        <is>
          <t>Dec</t>
        </is>
      </c>
      <c r="C145" t="n">
        <v>29999</v>
      </c>
      <c r="D145" t="inlineStr"/>
      <c r="E145" t="inlineStr"/>
      <c r="F145" t="inlineStr"/>
      <c r="G145" t="inlineStr"/>
      <c r="H145" t="inlineStr"/>
      <c r="I145" t="n">
        <v>5000</v>
      </c>
      <c r="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EMI Used</t>
        </is>
      </c>
      <c r="D1" t="inlineStr">
        <is>
          <t>Extra EMI</t>
        </is>
      </c>
      <c r="E1" t="inlineStr">
        <is>
          <t>Prepayment</t>
        </is>
      </c>
      <c r="F1" t="inlineStr">
        <is>
          <t>Interest</t>
        </is>
      </c>
      <c r="G1" t="inlineStr">
        <is>
          <t>Principal</t>
        </is>
      </c>
      <c r="H1" t="inlineStr">
        <is>
          <t>Closing Balance</t>
        </is>
      </c>
    </row>
    <row r="2">
      <c r="B2" t="n">
        <v>3500000</v>
      </c>
      <c r="C2">
        <f>IF('Monthly Tracker'!D2="Y",'Monthly Tracker'!E2,0)</f>
        <v/>
      </c>
      <c r="D2">
        <f>IF('Monthly Tracker'!F2="Y",'Monthly Tracker'!G2,0)</f>
        <v/>
      </c>
      <c r="E2">
        <f>'Monthly Tracker'!J2</f>
        <v/>
      </c>
      <c r="F2">
        <f>B2*0.007</f>
        <v/>
      </c>
      <c r="G2">
        <f>C2+D2+E2-F2</f>
        <v/>
      </c>
      <c r="H2">
        <f>B2-G2</f>
        <v/>
      </c>
    </row>
    <row r="3">
      <c r="B3">
        <f>H2</f>
        <v/>
      </c>
      <c r="C3">
        <f>IF('Monthly Tracker'!D3="Y",'Monthly Tracker'!E3,0)</f>
        <v/>
      </c>
      <c r="D3">
        <f>IF('Monthly Tracker'!F3="Y",'Monthly Tracker'!G3,0)</f>
        <v/>
      </c>
      <c r="E3">
        <f>'Monthly Tracker'!J3</f>
        <v/>
      </c>
      <c r="F3">
        <f>B3*0.007</f>
        <v/>
      </c>
      <c r="G3">
        <f>C3+D3+E3-F3</f>
        <v/>
      </c>
      <c r="H3">
        <f>B3-G3</f>
        <v/>
      </c>
    </row>
    <row r="4">
      <c r="B4">
        <f>H3</f>
        <v/>
      </c>
      <c r="C4">
        <f>IF('Monthly Tracker'!D4="Y",'Monthly Tracker'!E4,0)</f>
        <v/>
      </c>
      <c r="D4">
        <f>IF('Monthly Tracker'!F4="Y",'Monthly Tracker'!G4,0)</f>
        <v/>
      </c>
      <c r="E4">
        <f>'Monthly Tracker'!J4</f>
        <v/>
      </c>
      <c r="F4">
        <f>B4*0.007</f>
        <v/>
      </c>
      <c r="G4">
        <f>C4+D4+E4-F4</f>
        <v/>
      </c>
      <c r="H4">
        <f>B4-G4</f>
        <v/>
      </c>
    </row>
    <row r="5">
      <c r="B5">
        <f>H4</f>
        <v/>
      </c>
      <c r="C5">
        <f>IF('Monthly Tracker'!D5="Y",'Monthly Tracker'!E5,0)</f>
        <v/>
      </c>
      <c r="D5">
        <f>IF('Monthly Tracker'!F5="Y",'Monthly Tracker'!G5,0)</f>
        <v/>
      </c>
      <c r="E5">
        <f>'Monthly Tracker'!J5</f>
        <v/>
      </c>
      <c r="F5">
        <f>B5*0.007</f>
        <v/>
      </c>
      <c r="G5">
        <f>C5+D5+E5-F5</f>
        <v/>
      </c>
      <c r="H5">
        <f>B5-G5</f>
        <v/>
      </c>
    </row>
    <row r="6">
      <c r="B6">
        <f>H5</f>
        <v/>
      </c>
      <c r="C6">
        <f>IF('Monthly Tracker'!D6="Y",'Monthly Tracker'!E6,0)</f>
        <v/>
      </c>
      <c r="D6">
        <f>IF('Monthly Tracker'!F6="Y",'Monthly Tracker'!G6,0)</f>
        <v/>
      </c>
      <c r="E6">
        <f>'Monthly Tracker'!J6</f>
        <v/>
      </c>
      <c r="F6">
        <f>B6*0.007</f>
        <v/>
      </c>
      <c r="G6">
        <f>C6+D6+E6-F6</f>
        <v/>
      </c>
      <c r="H6">
        <f>B6-G6</f>
        <v/>
      </c>
    </row>
    <row r="7">
      <c r="B7">
        <f>H6</f>
        <v/>
      </c>
      <c r="C7">
        <f>IF('Monthly Tracker'!D7="Y",'Monthly Tracker'!E7,0)</f>
        <v/>
      </c>
      <c r="D7">
        <f>IF('Monthly Tracker'!F7="Y",'Monthly Tracker'!G7,0)</f>
        <v/>
      </c>
      <c r="E7">
        <f>'Monthly Tracker'!J7</f>
        <v/>
      </c>
      <c r="F7">
        <f>B7*0.007</f>
        <v/>
      </c>
      <c r="G7">
        <f>C7+D7+E7-F7</f>
        <v/>
      </c>
      <c r="H7">
        <f>B7-G7</f>
        <v/>
      </c>
    </row>
    <row r="8">
      <c r="B8">
        <f>H7</f>
        <v/>
      </c>
      <c r="C8">
        <f>IF('Monthly Tracker'!D8="Y",'Monthly Tracker'!E8,0)</f>
        <v/>
      </c>
      <c r="D8">
        <f>IF('Monthly Tracker'!F8="Y",'Monthly Tracker'!G8,0)</f>
        <v/>
      </c>
      <c r="E8">
        <f>'Monthly Tracker'!J8</f>
        <v/>
      </c>
      <c r="F8">
        <f>B8*0.007</f>
        <v/>
      </c>
      <c r="G8">
        <f>C8+D8+E8-F8</f>
        <v/>
      </c>
      <c r="H8">
        <f>B8-G8</f>
        <v/>
      </c>
    </row>
    <row r="9">
      <c r="B9">
        <f>H8</f>
        <v/>
      </c>
      <c r="C9">
        <f>IF('Monthly Tracker'!D9="Y",'Monthly Tracker'!E9,0)</f>
        <v/>
      </c>
      <c r="D9">
        <f>IF('Monthly Tracker'!F9="Y",'Monthly Tracker'!G9,0)</f>
        <v/>
      </c>
      <c r="E9">
        <f>'Monthly Tracker'!J9</f>
        <v/>
      </c>
      <c r="F9">
        <f>B9*0.007</f>
        <v/>
      </c>
      <c r="G9">
        <f>C9+D9+E9-F9</f>
        <v/>
      </c>
      <c r="H9">
        <f>B9-G9</f>
        <v/>
      </c>
    </row>
    <row r="10">
      <c r="B10">
        <f>H9</f>
        <v/>
      </c>
      <c r="C10">
        <f>IF('Monthly Tracker'!D10="Y",'Monthly Tracker'!E10,0)</f>
        <v/>
      </c>
      <c r="D10">
        <f>IF('Monthly Tracker'!F10="Y",'Monthly Tracker'!G10,0)</f>
        <v/>
      </c>
      <c r="E10">
        <f>'Monthly Tracker'!J10</f>
        <v/>
      </c>
      <c r="F10">
        <f>B10*0.007</f>
        <v/>
      </c>
      <c r="G10">
        <f>C10+D10+E10-F10</f>
        <v/>
      </c>
      <c r="H10">
        <f>B10-G10</f>
        <v/>
      </c>
    </row>
    <row r="11">
      <c r="B11">
        <f>H10</f>
        <v/>
      </c>
      <c r="C11">
        <f>IF('Monthly Tracker'!D11="Y",'Monthly Tracker'!E11,0)</f>
        <v/>
      </c>
      <c r="D11">
        <f>IF('Monthly Tracker'!F11="Y",'Monthly Tracker'!G11,0)</f>
        <v/>
      </c>
      <c r="E11">
        <f>'Monthly Tracker'!J11</f>
        <v/>
      </c>
      <c r="F11">
        <f>B11*0.007</f>
        <v/>
      </c>
      <c r="G11">
        <f>C11+D11+E11-F11</f>
        <v/>
      </c>
      <c r="H11">
        <f>B11-G11</f>
        <v/>
      </c>
    </row>
    <row r="12">
      <c r="B12">
        <f>H11</f>
        <v/>
      </c>
      <c r="C12">
        <f>IF('Monthly Tracker'!D12="Y",'Monthly Tracker'!E12,0)</f>
        <v/>
      </c>
      <c r="D12">
        <f>IF('Monthly Tracker'!F12="Y",'Monthly Tracker'!G12,0)</f>
        <v/>
      </c>
      <c r="E12">
        <f>'Monthly Tracker'!J12</f>
        <v/>
      </c>
      <c r="F12">
        <f>B12*0.007</f>
        <v/>
      </c>
      <c r="G12">
        <f>C12+D12+E12-F12</f>
        <v/>
      </c>
      <c r="H12">
        <f>B12-G12</f>
        <v/>
      </c>
    </row>
    <row r="13">
      <c r="B13">
        <f>H12</f>
        <v/>
      </c>
      <c r="C13">
        <f>IF('Monthly Tracker'!D13="Y",'Monthly Tracker'!E13,0)</f>
        <v/>
      </c>
      <c r="D13">
        <f>IF('Monthly Tracker'!F13="Y",'Monthly Tracker'!G13,0)</f>
        <v/>
      </c>
      <c r="E13">
        <f>'Monthly Tracker'!J13</f>
        <v/>
      </c>
      <c r="F13">
        <f>B13*0.007</f>
        <v/>
      </c>
      <c r="G13">
        <f>C13+D13+E13-F13</f>
        <v/>
      </c>
      <c r="H13">
        <f>B13-G13</f>
        <v/>
      </c>
    </row>
    <row r="14">
      <c r="B14">
        <f>H13</f>
        <v/>
      </c>
      <c r="C14">
        <f>IF('Monthly Tracker'!D14="Y",'Monthly Tracker'!E14,0)</f>
        <v/>
      </c>
      <c r="D14">
        <f>IF('Monthly Tracker'!F14="Y",'Monthly Tracker'!G14,0)</f>
        <v/>
      </c>
      <c r="E14">
        <f>'Monthly Tracker'!J14</f>
        <v/>
      </c>
      <c r="F14">
        <f>B14*0.007</f>
        <v/>
      </c>
      <c r="G14">
        <f>C14+D14+E14-F14</f>
        <v/>
      </c>
      <c r="H14">
        <f>B14-G14</f>
        <v/>
      </c>
    </row>
    <row r="15">
      <c r="B15">
        <f>H14</f>
        <v/>
      </c>
      <c r="C15">
        <f>IF('Monthly Tracker'!D15="Y",'Monthly Tracker'!E15,0)</f>
        <v/>
      </c>
      <c r="D15">
        <f>IF('Monthly Tracker'!F15="Y",'Monthly Tracker'!G15,0)</f>
        <v/>
      </c>
      <c r="E15">
        <f>'Monthly Tracker'!J15</f>
        <v/>
      </c>
      <c r="F15">
        <f>B15*0.007</f>
        <v/>
      </c>
      <c r="G15">
        <f>C15+D15+E15-F15</f>
        <v/>
      </c>
      <c r="H15">
        <f>B15-G15</f>
        <v/>
      </c>
    </row>
    <row r="16">
      <c r="B16">
        <f>H15</f>
        <v/>
      </c>
      <c r="C16">
        <f>IF('Monthly Tracker'!D16="Y",'Monthly Tracker'!E16,0)</f>
        <v/>
      </c>
      <c r="D16">
        <f>IF('Monthly Tracker'!F16="Y",'Monthly Tracker'!G16,0)</f>
        <v/>
      </c>
      <c r="E16">
        <f>'Monthly Tracker'!J16</f>
        <v/>
      </c>
      <c r="F16">
        <f>B16*0.007</f>
        <v/>
      </c>
      <c r="G16">
        <f>C16+D16+E16-F16</f>
        <v/>
      </c>
      <c r="H16">
        <f>B16-G16</f>
        <v/>
      </c>
    </row>
    <row r="17">
      <c r="B17">
        <f>H16</f>
        <v/>
      </c>
      <c r="C17">
        <f>IF('Monthly Tracker'!D17="Y",'Monthly Tracker'!E17,0)</f>
        <v/>
      </c>
      <c r="D17">
        <f>IF('Monthly Tracker'!F17="Y",'Monthly Tracker'!G17,0)</f>
        <v/>
      </c>
      <c r="E17">
        <f>'Monthly Tracker'!J17</f>
        <v/>
      </c>
      <c r="F17">
        <f>B17*0.007</f>
        <v/>
      </c>
      <c r="G17">
        <f>C17+D17+E17-F17</f>
        <v/>
      </c>
      <c r="H17">
        <f>B17-G17</f>
        <v/>
      </c>
    </row>
    <row r="18">
      <c r="B18">
        <f>H17</f>
        <v/>
      </c>
      <c r="C18">
        <f>IF('Monthly Tracker'!D18="Y",'Monthly Tracker'!E18,0)</f>
        <v/>
      </c>
      <c r="D18">
        <f>IF('Monthly Tracker'!F18="Y",'Monthly Tracker'!G18,0)</f>
        <v/>
      </c>
      <c r="E18">
        <f>'Monthly Tracker'!J18</f>
        <v/>
      </c>
      <c r="F18">
        <f>B18*0.007</f>
        <v/>
      </c>
      <c r="G18">
        <f>C18+D18+E18-F18</f>
        <v/>
      </c>
      <c r="H18">
        <f>B18-G18</f>
        <v/>
      </c>
    </row>
    <row r="19">
      <c r="B19">
        <f>H18</f>
        <v/>
      </c>
      <c r="C19">
        <f>IF('Monthly Tracker'!D19="Y",'Monthly Tracker'!E19,0)</f>
        <v/>
      </c>
      <c r="D19">
        <f>IF('Monthly Tracker'!F19="Y",'Monthly Tracker'!G19,0)</f>
        <v/>
      </c>
      <c r="E19">
        <f>'Monthly Tracker'!J19</f>
        <v/>
      </c>
      <c r="F19">
        <f>B19*0.007</f>
        <v/>
      </c>
      <c r="G19">
        <f>C19+D19+E19-F19</f>
        <v/>
      </c>
      <c r="H19">
        <f>B19-G19</f>
        <v/>
      </c>
    </row>
    <row r="20">
      <c r="B20">
        <f>H19</f>
        <v/>
      </c>
      <c r="C20">
        <f>IF('Monthly Tracker'!D20="Y",'Monthly Tracker'!E20,0)</f>
        <v/>
      </c>
      <c r="D20">
        <f>IF('Monthly Tracker'!F20="Y",'Monthly Tracker'!G20,0)</f>
        <v/>
      </c>
      <c r="E20">
        <f>'Monthly Tracker'!J20</f>
        <v/>
      </c>
      <c r="F20">
        <f>B20*0.007</f>
        <v/>
      </c>
      <c r="G20">
        <f>C20+D20+E20-F20</f>
        <v/>
      </c>
      <c r="H20">
        <f>B20-G20</f>
        <v/>
      </c>
    </row>
    <row r="21">
      <c r="B21">
        <f>H20</f>
        <v/>
      </c>
      <c r="C21">
        <f>IF('Monthly Tracker'!D21="Y",'Monthly Tracker'!E21,0)</f>
        <v/>
      </c>
      <c r="D21">
        <f>IF('Monthly Tracker'!F21="Y",'Monthly Tracker'!G21,0)</f>
        <v/>
      </c>
      <c r="E21">
        <f>'Monthly Tracker'!J21</f>
        <v/>
      </c>
      <c r="F21">
        <f>B21*0.007</f>
        <v/>
      </c>
      <c r="G21">
        <f>C21+D21+E21-F21</f>
        <v/>
      </c>
      <c r="H21">
        <f>B21-G21</f>
        <v/>
      </c>
    </row>
    <row r="22">
      <c r="B22">
        <f>H21</f>
        <v/>
      </c>
      <c r="C22">
        <f>IF('Monthly Tracker'!D22="Y",'Monthly Tracker'!E22,0)</f>
        <v/>
      </c>
      <c r="D22">
        <f>IF('Monthly Tracker'!F22="Y",'Monthly Tracker'!G22,0)</f>
        <v/>
      </c>
      <c r="E22">
        <f>'Monthly Tracker'!J22</f>
        <v/>
      </c>
      <c r="F22">
        <f>B22*0.007</f>
        <v/>
      </c>
      <c r="G22">
        <f>C22+D22+E22-F22</f>
        <v/>
      </c>
      <c r="H22">
        <f>B22-G22</f>
        <v/>
      </c>
    </row>
    <row r="23">
      <c r="B23">
        <f>H22</f>
        <v/>
      </c>
      <c r="C23">
        <f>IF('Monthly Tracker'!D23="Y",'Monthly Tracker'!E23,0)</f>
        <v/>
      </c>
      <c r="D23">
        <f>IF('Monthly Tracker'!F23="Y",'Monthly Tracker'!G23,0)</f>
        <v/>
      </c>
      <c r="E23">
        <f>'Monthly Tracker'!J23</f>
        <v/>
      </c>
      <c r="F23">
        <f>B23*0.007</f>
        <v/>
      </c>
      <c r="G23">
        <f>C23+D23+E23-F23</f>
        <v/>
      </c>
      <c r="H23">
        <f>B23-G23</f>
        <v/>
      </c>
    </row>
    <row r="24">
      <c r="B24">
        <f>H23</f>
        <v/>
      </c>
      <c r="C24">
        <f>IF('Monthly Tracker'!D24="Y",'Monthly Tracker'!E24,0)</f>
        <v/>
      </c>
      <c r="D24">
        <f>IF('Monthly Tracker'!F24="Y",'Monthly Tracker'!G24,0)</f>
        <v/>
      </c>
      <c r="E24">
        <f>'Monthly Tracker'!J24</f>
        <v/>
      </c>
      <c r="F24">
        <f>B24*0.007</f>
        <v/>
      </c>
      <c r="G24">
        <f>C24+D24+E24-F24</f>
        <v/>
      </c>
      <c r="H24">
        <f>B24-G24</f>
        <v/>
      </c>
    </row>
    <row r="25">
      <c r="B25">
        <f>H24</f>
        <v/>
      </c>
      <c r="C25">
        <f>IF('Monthly Tracker'!D25="Y",'Monthly Tracker'!E25,0)</f>
        <v/>
      </c>
      <c r="D25">
        <f>IF('Monthly Tracker'!F25="Y",'Monthly Tracker'!G25,0)</f>
        <v/>
      </c>
      <c r="E25">
        <f>'Monthly Tracker'!J25</f>
        <v/>
      </c>
      <c r="F25">
        <f>B25*0.007</f>
        <v/>
      </c>
      <c r="G25">
        <f>C25+D25+E25-F25</f>
        <v/>
      </c>
      <c r="H25">
        <f>B25-G25</f>
        <v/>
      </c>
    </row>
    <row r="26">
      <c r="B26">
        <f>H25</f>
        <v/>
      </c>
      <c r="C26">
        <f>IF('Monthly Tracker'!D26="Y",'Monthly Tracker'!E26,0)</f>
        <v/>
      </c>
      <c r="D26">
        <f>IF('Monthly Tracker'!F26="Y",'Monthly Tracker'!G26,0)</f>
        <v/>
      </c>
      <c r="E26">
        <f>'Monthly Tracker'!J26</f>
        <v/>
      </c>
      <c r="F26">
        <f>B26*0.007</f>
        <v/>
      </c>
      <c r="G26">
        <f>C26+D26+E26-F26</f>
        <v/>
      </c>
      <c r="H26">
        <f>B26-G26</f>
        <v/>
      </c>
    </row>
    <row r="27">
      <c r="B27">
        <f>H26</f>
        <v/>
      </c>
      <c r="C27">
        <f>IF('Monthly Tracker'!D27="Y",'Monthly Tracker'!E27,0)</f>
        <v/>
      </c>
      <c r="D27">
        <f>IF('Monthly Tracker'!F27="Y",'Monthly Tracker'!G27,0)</f>
        <v/>
      </c>
      <c r="E27">
        <f>'Monthly Tracker'!J27</f>
        <v/>
      </c>
      <c r="F27">
        <f>B27*0.007</f>
        <v/>
      </c>
      <c r="G27">
        <f>C27+D27+E27-F27</f>
        <v/>
      </c>
      <c r="H27">
        <f>B27-G27</f>
        <v/>
      </c>
    </row>
    <row r="28">
      <c r="B28">
        <f>H27</f>
        <v/>
      </c>
      <c r="C28">
        <f>IF('Monthly Tracker'!D28="Y",'Monthly Tracker'!E28,0)</f>
        <v/>
      </c>
      <c r="D28">
        <f>IF('Monthly Tracker'!F28="Y",'Monthly Tracker'!G28,0)</f>
        <v/>
      </c>
      <c r="E28">
        <f>'Monthly Tracker'!J28</f>
        <v/>
      </c>
      <c r="F28">
        <f>B28*0.007</f>
        <v/>
      </c>
      <c r="G28">
        <f>C28+D28+E28-F28</f>
        <v/>
      </c>
      <c r="H28">
        <f>B28-G28</f>
        <v/>
      </c>
    </row>
    <row r="29">
      <c r="B29">
        <f>H28</f>
        <v/>
      </c>
      <c r="C29">
        <f>IF('Monthly Tracker'!D29="Y",'Monthly Tracker'!E29,0)</f>
        <v/>
      </c>
      <c r="D29">
        <f>IF('Monthly Tracker'!F29="Y",'Monthly Tracker'!G29,0)</f>
        <v/>
      </c>
      <c r="E29">
        <f>'Monthly Tracker'!J29</f>
        <v/>
      </c>
      <c r="F29">
        <f>B29*0.007</f>
        <v/>
      </c>
      <c r="G29">
        <f>C29+D29+E29-F29</f>
        <v/>
      </c>
      <c r="H29">
        <f>B29-G29</f>
        <v/>
      </c>
    </row>
    <row r="30">
      <c r="B30">
        <f>H29</f>
        <v/>
      </c>
      <c r="C30">
        <f>IF('Monthly Tracker'!D30="Y",'Monthly Tracker'!E30,0)</f>
        <v/>
      </c>
      <c r="D30">
        <f>IF('Monthly Tracker'!F30="Y",'Monthly Tracker'!G30,0)</f>
        <v/>
      </c>
      <c r="E30">
        <f>'Monthly Tracker'!J30</f>
        <v/>
      </c>
      <c r="F30">
        <f>B30*0.007</f>
        <v/>
      </c>
      <c r="G30">
        <f>C30+D30+E30-F30</f>
        <v/>
      </c>
      <c r="H30">
        <f>B30-G30</f>
        <v/>
      </c>
    </row>
    <row r="31">
      <c r="B31">
        <f>H30</f>
        <v/>
      </c>
      <c r="C31">
        <f>IF('Monthly Tracker'!D31="Y",'Monthly Tracker'!E31,0)</f>
        <v/>
      </c>
      <c r="D31">
        <f>IF('Monthly Tracker'!F31="Y",'Monthly Tracker'!G31,0)</f>
        <v/>
      </c>
      <c r="E31">
        <f>'Monthly Tracker'!J31</f>
        <v/>
      </c>
      <c r="F31">
        <f>B31*0.007</f>
        <v/>
      </c>
      <c r="G31">
        <f>C31+D31+E31-F31</f>
        <v/>
      </c>
      <c r="H31">
        <f>B31-G31</f>
        <v/>
      </c>
    </row>
    <row r="32">
      <c r="B32">
        <f>H31</f>
        <v/>
      </c>
      <c r="C32">
        <f>IF('Monthly Tracker'!D32="Y",'Monthly Tracker'!E32,0)</f>
        <v/>
      </c>
      <c r="D32">
        <f>IF('Monthly Tracker'!F32="Y",'Monthly Tracker'!G32,0)</f>
        <v/>
      </c>
      <c r="E32">
        <f>'Monthly Tracker'!J32</f>
        <v/>
      </c>
      <c r="F32">
        <f>B32*0.007</f>
        <v/>
      </c>
      <c r="G32">
        <f>C32+D32+E32-F32</f>
        <v/>
      </c>
      <c r="H32">
        <f>B32-G32</f>
        <v/>
      </c>
    </row>
    <row r="33">
      <c r="B33">
        <f>H32</f>
        <v/>
      </c>
      <c r="C33">
        <f>IF('Monthly Tracker'!D33="Y",'Monthly Tracker'!E33,0)</f>
        <v/>
      </c>
      <c r="D33">
        <f>IF('Monthly Tracker'!F33="Y",'Monthly Tracker'!G33,0)</f>
        <v/>
      </c>
      <c r="E33">
        <f>'Monthly Tracker'!J33</f>
        <v/>
      </c>
      <c r="F33">
        <f>B33*0.007</f>
        <v/>
      </c>
      <c r="G33">
        <f>C33+D33+E33-F33</f>
        <v/>
      </c>
      <c r="H33">
        <f>B33-G33</f>
        <v/>
      </c>
    </row>
    <row r="34">
      <c r="B34">
        <f>H33</f>
        <v/>
      </c>
      <c r="C34">
        <f>IF('Monthly Tracker'!D34="Y",'Monthly Tracker'!E34,0)</f>
        <v/>
      </c>
      <c r="D34">
        <f>IF('Monthly Tracker'!F34="Y",'Monthly Tracker'!G34,0)</f>
        <v/>
      </c>
      <c r="E34">
        <f>'Monthly Tracker'!J34</f>
        <v/>
      </c>
      <c r="F34">
        <f>B34*0.007</f>
        <v/>
      </c>
      <c r="G34">
        <f>C34+D34+E34-F34</f>
        <v/>
      </c>
      <c r="H34">
        <f>B34-G34</f>
        <v/>
      </c>
    </row>
    <row r="35">
      <c r="B35">
        <f>H34</f>
        <v/>
      </c>
      <c r="C35">
        <f>IF('Monthly Tracker'!D35="Y",'Monthly Tracker'!E35,0)</f>
        <v/>
      </c>
      <c r="D35">
        <f>IF('Monthly Tracker'!F35="Y",'Monthly Tracker'!G35,0)</f>
        <v/>
      </c>
      <c r="E35">
        <f>'Monthly Tracker'!J35</f>
        <v/>
      </c>
      <c r="F35">
        <f>B35*0.007</f>
        <v/>
      </c>
      <c r="G35">
        <f>C35+D35+E35-F35</f>
        <v/>
      </c>
      <c r="H35">
        <f>B35-G35</f>
        <v/>
      </c>
    </row>
    <row r="36">
      <c r="B36">
        <f>H35</f>
        <v/>
      </c>
      <c r="C36">
        <f>IF('Monthly Tracker'!D36="Y",'Monthly Tracker'!E36,0)</f>
        <v/>
      </c>
      <c r="D36">
        <f>IF('Monthly Tracker'!F36="Y",'Monthly Tracker'!G36,0)</f>
        <v/>
      </c>
      <c r="E36">
        <f>'Monthly Tracker'!J36</f>
        <v/>
      </c>
      <c r="F36">
        <f>B36*0.007</f>
        <v/>
      </c>
      <c r="G36">
        <f>C36+D36+E36-F36</f>
        <v/>
      </c>
      <c r="H36">
        <f>B36-G36</f>
        <v/>
      </c>
    </row>
    <row r="37">
      <c r="B37">
        <f>H36</f>
        <v/>
      </c>
      <c r="C37">
        <f>IF('Monthly Tracker'!D37="Y",'Monthly Tracker'!E37,0)</f>
        <v/>
      </c>
      <c r="D37">
        <f>IF('Monthly Tracker'!F37="Y",'Monthly Tracker'!G37,0)</f>
        <v/>
      </c>
      <c r="E37">
        <f>'Monthly Tracker'!J37</f>
        <v/>
      </c>
      <c r="F37">
        <f>B37*0.007</f>
        <v/>
      </c>
      <c r="G37">
        <f>C37+D37+E37-F37</f>
        <v/>
      </c>
      <c r="H37">
        <f>B37-G37</f>
        <v/>
      </c>
    </row>
    <row r="38">
      <c r="B38">
        <f>H37</f>
        <v/>
      </c>
      <c r="C38">
        <f>IF('Monthly Tracker'!D38="Y",'Monthly Tracker'!E38,0)</f>
        <v/>
      </c>
      <c r="D38">
        <f>IF('Monthly Tracker'!F38="Y",'Monthly Tracker'!G38,0)</f>
        <v/>
      </c>
      <c r="E38">
        <f>'Monthly Tracker'!J38</f>
        <v/>
      </c>
      <c r="F38">
        <f>B38*0.007</f>
        <v/>
      </c>
      <c r="G38">
        <f>C38+D38+E38-F38</f>
        <v/>
      </c>
      <c r="H38">
        <f>B38-G38</f>
        <v/>
      </c>
    </row>
    <row r="39">
      <c r="B39">
        <f>H38</f>
        <v/>
      </c>
      <c r="C39">
        <f>IF('Monthly Tracker'!D39="Y",'Monthly Tracker'!E39,0)</f>
        <v/>
      </c>
      <c r="D39">
        <f>IF('Monthly Tracker'!F39="Y",'Monthly Tracker'!G39,0)</f>
        <v/>
      </c>
      <c r="E39">
        <f>'Monthly Tracker'!J39</f>
        <v/>
      </c>
      <c r="F39">
        <f>B39*0.007</f>
        <v/>
      </c>
      <c r="G39">
        <f>C39+D39+E39-F39</f>
        <v/>
      </c>
      <c r="H39">
        <f>B39-G39</f>
        <v/>
      </c>
    </row>
    <row r="40">
      <c r="B40">
        <f>H39</f>
        <v/>
      </c>
      <c r="C40">
        <f>IF('Monthly Tracker'!D40="Y",'Monthly Tracker'!E40,0)</f>
        <v/>
      </c>
      <c r="D40">
        <f>IF('Monthly Tracker'!F40="Y",'Monthly Tracker'!G40,0)</f>
        <v/>
      </c>
      <c r="E40">
        <f>'Monthly Tracker'!J40</f>
        <v/>
      </c>
      <c r="F40">
        <f>B40*0.007</f>
        <v/>
      </c>
      <c r="G40">
        <f>C40+D40+E40-F40</f>
        <v/>
      </c>
      <c r="H40">
        <f>B40-G40</f>
        <v/>
      </c>
    </row>
    <row r="41">
      <c r="B41">
        <f>H40</f>
        <v/>
      </c>
      <c r="C41">
        <f>IF('Monthly Tracker'!D41="Y",'Monthly Tracker'!E41,0)</f>
        <v/>
      </c>
      <c r="D41">
        <f>IF('Monthly Tracker'!F41="Y",'Monthly Tracker'!G41,0)</f>
        <v/>
      </c>
      <c r="E41">
        <f>'Monthly Tracker'!J41</f>
        <v/>
      </c>
      <c r="F41">
        <f>B41*0.007</f>
        <v/>
      </c>
      <c r="G41">
        <f>C41+D41+E41-F41</f>
        <v/>
      </c>
      <c r="H41">
        <f>B41-G41</f>
        <v/>
      </c>
    </row>
    <row r="42">
      <c r="B42">
        <f>H41</f>
        <v/>
      </c>
      <c r="C42">
        <f>IF('Monthly Tracker'!D42="Y",'Monthly Tracker'!E42,0)</f>
        <v/>
      </c>
      <c r="D42">
        <f>IF('Monthly Tracker'!F42="Y",'Monthly Tracker'!G42,0)</f>
        <v/>
      </c>
      <c r="E42">
        <f>'Monthly Tracker'!J42</f>
        <v/>
      </c>
      <c r="F42">
        <f>B42*0.007</f>
        <v/>
      </c>
      <c r="G42">
        <f>C42+D42+E42-F42</f>
        <v/>
      </c>
      <c r="H42">
        <f>B42-G42</f>
        <v/>
      </c>
    </row>
    <row r="43">
      <c r="B43">
        <f>H42</f>
        <v/>
      </c>
      <c r="C43">
        <f>IF('Monthly Tracker'!D43="Y",'Monthly Tracker'!E43,0)</f>
        <v/>
      </c>
      <c r="D43">
        <f>IF('Monthly Tracker'!F43="Y",'Monthly Tracker'!G43,0)</f>
        <v/>
      </c>
      <c r="E43">
        <f>'Monthly Tracker'!J43</f>
        <v/>
      </c>
      <c r="F43">
        <f>B43*0.007</f>
        <v/>
      </c>
      <c r="G43">
        <f>C43+D43+E43-F43</f>
        <v/>
      </c>
      <c r="H43">
        <f>B43-G43</f>
        <v/>
      </c>
    </row>
    <row r="44">
      <c r="B44">
        <f>H43</f>
        <v/>
      </c>
      <c r="C44">
        <f>IF('Monthly Tracker'!D44="Y",'Monthly Tracker'!E44,0)</f>
        <v/>
      </c>
      <c r="D44">
        <f>IF('Monthly Tracker'!F44="Y",'Monthly Tracker'!G44,0)</f>
        <v/>
      </c>
      <c r="E44">
        <f>'Monthly Tracker'!J44</f>
        <v/>
      </c>
      <c r="F44">
        <f>B44*0.007</f>
        <v/>
      </c>
      <c r="G44">
        <f>C44+D44+E44-F44</f>
        <v/>
      </c>
      <c r="H44">
        <f>B44-G44</f>
        <v/>
      </c>
    </row>
    <row r="45">
      <c r="B45">
        <f>H44</f>
        <v/>
      </c>
      <c r="C45">
        <f>IF('Monthly Tracker'!D45="Y",'Monthly Tracker'!E45,0)</f>
        <v/>
      </c>
      <c r="D45">
        <f>IF('Monthly Tracker'!F45="Y",'Monthly Tracker'!G45,0)</f>
        <v/>
      </c>
      <c r="E45">
        <f>'Monthly Tracker'!J45</f>
        <v/>
      </c>
      <c r="F45">
        <f>B45*0.007</f>
        <v/>
      </c>
      <c r="G45">
        <f>C45+D45+E45-F45</f>
        <v/>
      </c>
      <c r="H45">
        <f>B45-G45</f>
        <v/>
      </c>
    </row>
    <row r="46">
      <c r="B46">
        <f>H45</f>
        <v/>
      </c>
      <c r="C46">
        <f>IF('Monthly Tracker'!D46="Y",'Monthly Tracker'!E46,0)</f>
        <v/>
      </c>
      <c r="D46">
        <f>IF('Monthly Tracker'!F46="Y",'Monthly Tracker'!G46,0)</f>
        <v/>
      </c>
      <c r="E46">
        <f>'Monthly Tracker'!J46</f>
        <v/>
      </c>
      <c r="F46">
        <f>B46*0.007</f>
        <v/>
      </c>
      <c r="G46">
        <f>C46+D46+E46-F46</f>
        <v/>
      </c>
      <c r="H46">
        <f>B46-G46</f>
        <v/>
      </c>
    </row>
    <row r="47">
      <c r="B47">
        <f>H46</f>
        <v/>
      </c>
      <c r="C47">
        <f>IF('Monthly Tracker'!D47="Y",'Monthly Tracker'!E47,0)</f>
        <v/>
      </c>
      <c r="D47">
        <f>IF('Monthly Tracker'!F47="Y",'Monthly Tracker'!G47,0)</f>
        <v/>
      </c>
      <c r="E47">
        <f>'Monthly Tracker'!J47</f>
        <v/>
      </c>
      <c r="F47">
        <f>B47*0.007</f>
        <v/>
      </c>
      <c r="G47">
        <f>C47+D47+E47-F47</f>
        <v/>
      </c>
      <c r="H47">
        <f>B47-G47</f>
        <v/>
      </c>
    </row>
    <row r="48">
      <c r="B48">
        <f>H47</f>
        <v/>
      </c>
      <c r="C48">
        <f>IF('Monthly Tracker'!D48="Y",'Monthly Tracker'!E48,0)</f>
        <v/>
      </c>
      <c r="D48">
        <f>IF('Monthly Tracker'!F48="Y",'Monthly Tracker'!G48,0)</f>
        <v/>
      </c>
      <c r="E48">
        <f>'Monthly Tracker'!J48</f>
        <v/>
      </c>
      <c r="F48">
        <f>B48*0.007</f>
        <v/>
      </c>
      <c r="G48">
        <f>C48+D48+E48-F48</f>
        <v/>
      </c>
      <c r="H48">
        <f>B48-G48</f>
        <v/>
      </c>
    </row>
    <row r="49">
      <c r="B49">
        <f>H48</f>
        <v/>
      </c>
      <c r="C49">
        <f>IF('Monthly Tracker'!D49="Y",'Monthly Tracker'!E49,0)</f>
        <v/>
      </c>
      <c r="D49">
        <f>IF('Monthly Tracker'!F49="Y",'Monthly Tracker'!G49,0)</f>
        <v/>
      </c>
      <c r="E49">
        <f>'Monthly Tracker'!J49</f>
        <v/>
      </c>
      <c r="F49">
        <f>B49*0.007</f>
        <v/>
      </c>
      <c r="G49">
        <f>C49+D49+E49-F49</f>
        <v/>
      </c>
      <c r="H49">
        <f>B49-G49</f>
        <v/>
      </c>
    </row>
    <row r="50">
      <c r="B50">
        <f>H49</f>
        <v/>
      </c>
      <c r="C50">
        <f>IF('Monthly Tracker'!D50="Y",'Monthly Tracker'!E50,0)</f>
        <v/>
      </c>
      <c r="D50">
        <f>IF('Monthly Tracker'!F50="Y",'Monthly Tracker'!G50,0)</f>
        <v/>
      </c>
      <c r="E50">
        <f>'Monthly Tracker'!J50</f>
        <v/>
      </c>
      <c r="F50">
        <f>B50*0.007</f>
        <v/>
      </c>
      <c r="G50">
        <f>C50+D50+E50-F50</f>
        <v/>
      </c>
      <c r="H50">
        <f>B50-G50</f>
        <v/>
      </c>
    </row>
    <row r="51">
      <c r="B51">
        <f>H50</f>
        <v/>
      </c>
      <c r="C51">
        <f>IF('Monthly Tracker'!D51="Y",'Monthly Tracker'!E51,0)</f>
        <v/>
      </c>
      <c r="D51">
        <f>IF('Monthly Tracker'!F51="Y",'Monthly Tracker'!G51,0)</f>
        <v/>
      </c>
      <c r="E51">
        <f>'Monthly Tracker'!J51</f>
        <v/>
      </c>
      <c r="F51">
        <f>B51*0.007</f>
        <v/>
      </c>
      <c r="G51">
        <f>C51+D51+E51-F51</f>
        <v/>
      </c>
      <c r="H51">
        <f>B51-G51</f>
        <v/>
      </c>
    </row>
    <row r="52">
      <c r="B52">
        <f>H51</f>
        <v/>
      </c>
      <c r="C52">
        <f>IF('Monthly Tracker'!D52="Y",'Monthly Tracker'!E52,0)</f>
        <v/>
      </c>
      <c r="D52">
        <f>IF('Monthly Tracker'!F52="Y",'Monthly Tracker'!G52,0)</f>
        <v/>
      </c>
      <c r="E52">
        <f>'Monthly Tracker'!J52</f>
        <v/>
      </c>
      <c r="F52">
        <f>B52*0.007</f>
        <v/>
      </c>
      <c r="G52">
        <f>C52+D52+E52-F52</f>
        <v/>
      </c>
      <c r="H52">
        <f>B52-G52</f>
        <v/>
      </c>
    </row>
    <row r="53">
      <c r="B53">
        <f>H52</f>
        <v/>
      </c>
      <c r="C53">
        <f>IF('Monthly Tracker'!D53="Y",'Monthly Tracker'!E53,0)</f>
        <v/>
      </c>
      <c r="D53">
        <f>IF('Monthly Tracker'!F53="Y",'Monthly Tracker'!G53,0)</f>
        <v/>
      </c>
      <c r="E53">
        <f>'Monthly Tracker'!J53</f>
        <v/>
      </c>
      <c r="F53">
        <f>B53*0.007</f>
        <v/>
      </c>
      <c r="G53">
        <f>C53+D53+E53-F53</f>
        <v/>
      </c>
      <c r="H53">
        <f>B53-G53</f>
        <v/>
      </c>
    </row>
    <row r="54">
      <c r="B54">
        <f>H53</f>
        <v/>
      </c>
      <c r="C54">
        <f>IF('Monthly Tracker'!D54="Y",'Monthly Tracker'!E54,0)</f>
        <v/>
      </c>
      <c r="D54">
        <f>IF('Monthly Tracker'!F54="Y",'Monthly Tracker'!G54,0)</f>
        <v/>
      </c>
      <c r="E54">
        <f>'Monthly Tracker'!J54</f>
        <v/>
      </c>
      <c r="F54">
        <f>B54*0.007</f>
        <v/>
      </c>
      <c r="G54">
        <f>C54+D54+E54-F54</f>
        <v/>
      </c>
      <c r="H54">
        <f>B54-G54</f>
        <v/>
      </c>
    </row>
    <row r="55">
      <c r="B55">
        <f>H54</f>
        <v/>
      </c>
      <c r="C55">
        <f>IF('Monthly Tracker'!D55="Y",'Monthly Tracker'!E55,0)</f>
        <v/>
      </c>
      <c r="D55">
        <f>IF('Monthly Tracker'!F55="Y",'Monthly Tracker'!G55,0)</f>
        <v/>
      </c>
      <c r="E55">
        <f>'Monthly Tracker'!J55</f>
        <v/>
      </c>
      <c r="F55">
        <f>B55*0.007</f>
        <v/>
      </c>
      <c r="G55">
        <f>C55+D55+E55-F55</f>
        <v/>
      </c>
      <c r="H55">
        <f>B55-G55</f>
        <v/>
      </c>
    </row>
    <row r="56">
      <c r="B56">
        <f>H55</f>
        <v/>
      </c>
      <c r="C56">
        <f>IF('Monthly Tracker'!D56="Y",'Monthly Tracker'!E56,0)</f>
        <v/>
      </c>
      <c r="D56">
        <f>IF('Monthly Tracker'!F56="Y",'Monthly Tracker'!G56,0)</f>
        <v/>
      </c>
      <c r="E56">
        <f>'Monthly Tracker'!J56</f>
        <v/>
      </c>
      <c r="F56">
        <f>B56*0.007</f>
        <v/>
      </c>
      <c r="G56">
        <f>C56+D56+E56-F56</f>
        <v/>
      </c>
      <c r="H56">
        <f>B56-G56</f>
        <v/>
      </c>
    </row>
    <row r="57">
      <c r="B57">
        <f>H56</f>
        <v/>
      </c>
      <c r="C57">
        <f>IF('Monthly Tracker'!D57="Y",'Monthly Tracker'!E57,0)</f>
        <v/>
      </c>
      <c r="D57">
        <f>IF('Monthly Tracker'!F57="Y",'Monthly Tracker'!G57,0)</f>
        <v/>
      </c>
      <c r="E57">
        <f>'Monthly Tracker'!J57</f>
        <v/>
      </c>
      <c r="F57">
        <f>B57*0.007</f>
        <v/>
      </c>
      <c r="G57">
        <f>C57+D57+E57-F57</f>
        <v/>
      </c>
      <c r="H57">
        <f>B57-G57</f>
        <v/>
      </c>
    </row>
    <row r="58">
      <c r="B58">
        <f>H57</f>
        <v/>
      </c>
      <c r="C58">
        <f>IF('Monthly Tracker'!D58="Y",'Monthly Tracker'!E58,0)</f>
        <v/>
      </c>
      <c r="D58">
        <f>IF('Monthly Tracker'!F58="Y",'Monthly Tracker'!G58,0)</f>
        <v/>
      </c>
      <c r="E58">
        <f>'Monthly Tracker'!J58</f>
        <v/>
      </c>
      <c r="F58">
        <f>B58*0.007</f>
        <v/>
      </c>
      <c r="G58">
        <f>C58+D58+E58-F58</f>
        <v/>
      </c>
      <c r="H58">
        <f>B58-G58</f>
        <v/>
      </c>
    </row>
    <row r="59">
      <c r="B59">
        <f>H58</f>
        <v/>
      </c>
      <c r="C59">
        <f>IF('Monthly Tracker'!D59="Y",'Monthly Tracker'!E59,0)</f>
        <v/>
      </c>
      <c r="D59">
        <f>IF('Monthly Tracker'!F59="Y",'Monthly Tracker'!G59,0)</f>
        <v/>
      </c>
      <c r="E59">
        <f>'Monthly Tracker'!J59</f>
        <v/>
      </c>
      <c r="F59">
        <f>B59*0.007</f>
        <v/>
      </c>
      <c r="G59">
        <f>C59+D59+E59-F59</f>
        <v/>
      </c>
      <c r="H59">
        <f>B59-G59</f>
        <v/>
      </c>
    </row>
    <row r="60">
      <c r="B60">
        <f>H59</f>
        <v/>
      </c>
      <c r="C60">
        <f>IF('Monthly Tracker'!D60="Y",'Monthly Tracker'!E60,0)</f>
        <v/>
      </c>
      <c r="D60">
        <f>IF('Monthly Tracker'!F60="Y",'Monthly Tracker'!G60,0)</f>
        <v/>
      </c>
      <c r="E60">
        <f>'Monthly Tracker'!J60</f>
        <v/>
      </c>
      <c r="F60">
        <f>B60*0.007</f>
        <v/>
      </c>
      <c r="G60">
        <f>C60+D60+E60-F60</f>
        <v/>
      </c>
      <c r="H60">
        <f>B60-G60</f>
        <v/>
      </c>
    </row>
    <row r="61">
      <c r="B61">
        <f>H60</f>
        <v/>
      </c>
      <c r="C61">
        <f>IF('Monthly Tracker'!D61="Y",'Monthly Tracker'!E61,0)</f>
        <v/>
      </c>
      <c r="D61">
        <f>IF('Monthly Tracker'!F61="Y",'Monthly Tracker'!G61,0)</f>
        <v/>
      </c>
      <c r="E61">
        <f>'Monthly Tracker'!J61</f>
        <v/>
      </c>
      <c r="F61">
        <f>B61*0.007</f>
        <v/>
      </c>
      <c r="G61">
        <f>C61+D61+E61-F61</f>
        <v/>
      </c>
      <c r="H61">
        <f>B61-G61</f>
        <v/>
      </c>
    </row>
    <row r="62">
      <c r="B62">
        <f>H61</f>
        <v/>
      </c>
      <c r="C62">
        <f>IF('Monthly Tracker'!D62="Y",'Monthly Tracker'!E62,0)</f>
        <v/>
      </c>
      <c r="D62">
        <f>IF('Monthly Tracker'!F62="Y",'Monthly Tracker'!G62,0)</f>
        <v/>
      </c>
      <c r="E62">
        <f>'Monthly Tracker'!J62</f>
        <v/>
      </c>
      <c r="F62">
        <f>B62*0.007</f>
        <v/>
      </c>
      <c r="G62">
        <f>C62+D62+E62-F62</f>
        <v/>
      </c>
      <c r="H62">
        <f>B62-G62</f>
        <v/>
      </c>
    </row>
    <row r="63">
      <c r="B63">
        <f>H62</f>
        <v/>
      </c>
      <c r="C63">
        <f>IF('Monthly Tracker'!D63="Y",'Monthly Tracker'!E63,0)</f>
        <v/>
      </c>
      <c r="D63">
        <f>IF('Monthly Tracker'!F63="Y",'Monthly Tracker'!G63,0)</f>
        <v/>
      </c>
      <c r="E63">
        <f>'Monthly Tracker'!J63</f>
        <v/>
      </c>
      <c r="F63">
        <f>B63*0.007</f>
        <v/>
      </c>
      <c r="G63">
        <f>C63+D63+E63-F63</f>
        <v/>
      </c>
      <c r="H63">
        <f>B63-G63</f>
        <v/>
      </c>
    </row>
    <row r="64">
      <c r="B64">
        <f>H63</f>
        <v/>
      </c>
      <c r="C64">
        <f>IF('Monthly Tracker'!D64="Y",'Monthly Tracker'!E64,0)</f>
        <v/>
      </c>
      <c r="D64">
        <f>IF('Monthly Tracker'!F64="Y",'Monthly Tracker'!G64,0)</f>
        <v/>
      </c>
      <c r="E64">
        <f>'Monthly Tracker'!J64</f>
        <v/>
      </c>
      <c r="F64">
        <f>B64*0.007</f>
        <v/>
      </c>
      <c r="G64">
        <f>C64+D64+E64-F64</f>
        <v/>
      </c>
      <c r="H64">
        <f>B64-G64</f>
        <v/>
      </c>
    </row>
    <row r="65">
      <c r="B65">
        <f>H64</f>
        <v/>
      </c>
      <c r="C65">
        <f>IF('Monthly Tracker'!D65="Y",'Monthly Tracker'!E65,0)</f>
        <v/>
      </c>
      <c r="D65">
        <f>IF('Monthly Tracker'!F65="Y",'Monthly Tracker'!G65,0)</f>
        <v/>
      </c>
      <c r="E65">
        <f>'Monthly Tracker'!J65</f>
        <v/>
      </c>
      <c r="F65">
        <f>B65*0.007</f>
        <v/>
      </c>
      <c r="G65">
        <f>C65+D65+E65-F65</f>
        <v/>
      </c>
      <c r="H65">
        <f>B65-G65</f>
        <v/>
      </c>
    </row>
    <row r="66">
      <c r="B66">
        <f>H65</f>
        <v/>
      </c>
      <c r="C66">
        <f>IF('Monthly Tracker'!D66="Y",'Monthly Tracker'!E66,0)</f>
        <v/>
      </c>
      <c r="D66">
        <f>IF('Monthly Tracker'!F66="Y",'Monthly Tracker'!G66,0)</f>
        <v/>
      </c>
      <c r="E66">
        <f>'Monthly Tracker'!J66</f>
        <v/>
      </c>
      <c r="F66">
        <f>B66*0.007</f>
        <v/>
      </c>
      <c r="G66">
        <f>C66+D66+E66-F66</f>
        <v/>
      </c>
      <c r="H66">
        <f>B66-G66</f>
        <v/>
      </c>
    </row>
    <row r="67">
      <c r="B67">
        <f>H66</f>
        <v/>
      </c>
      <c r="C67">
        <f>IF('Monthly Tracker'!D67="Y",'Monthly Tracker'!E67,0)</f>
        <v/>
      </c>
      <c r="D67">
        <f>IF('Monthly Tracker'!F67="Y",'Monthly Tracker'!G67,0)</f>
        <v/>
      </c>
      <c r="E67">
        <f>'Monthly Tracker'!J67</f>
        <v/>
      </c>
      <c r="F67">
        <f>B67*0.007</f>
        <v/>
      </c>
      <c r="G67">
        <f>C67+D67+E67-F67</f>
        <v/>
      </c>
      <c r="H67">
        <f>B67-G67</f>
        <v/>
      </c>
    </row>
    <row r="68">
      <c r="B68">
        <f>H67</f>
        <v/>
      </c>
      <c r="C68">
        <f>IF('Monthly Tracker'!D68="Y",'Monthly Tracker'!E68,0)</f>
        <v/>
      </c>
      <c r="D68">
        <f>IF('Monthly Tracker'!F68="Y",'Monthly Tracker'!G68,0)</f>
        <v/>
      </c>
      <c r="E68">
        <f>'Monthly Tracker'!J68</f>
        <v/>
      </c>
      <c r="F68">
        <f>B68*0.007</f>
        <v/>
      </c>
      <c r="G68">
        <f>C68+D68+E68-F68</f>
        <v/>
      </c>
      <c r="H68">
        <f>B68-G68</f>
        <v/>
      </c>
    </row>
    <row r="69">
      <c r="B69">
        <f>H68</f>
        <v/>
      </c>
      <c r="C69">
        <f>IF('Monthly Tracker'!D69="Y",'Monthly Tracker'!E69,0)</f>
        <v/>
      </c>
      <c r="D69">
        <f>IF('Monthly Tracker'!F69="Y",'Monthly Tracker'!G69,0)</f>
        <v/>
      </c>
      <c r="E69">
        <f>'Monthly Tracker'!J69</f>
        <v/>
      </c>
      <c r="F69">
        <f>B69*0.007</f>
        <v/>
      </c>
      <c r="G69">
        <f>C69+D69+E69-F69</f>
        <v/>
      </c>
      <c r="H69">
        <f>B69-G69</f>
        <v/>
      </c>
    </row>
    <row r="70">
      <c r="B70">
        <f>H69</f>
        <v/>
      </c>
      <c r="C70">
        <f>IF('Monthly Tracker'!D70="Y",'Monthly Tracker'!E70,0)</f>
        <v/>
      </c>
      <c r="D70">
        <f>IF('Monthly Tracker'!F70="Y",'Monthly Tracker'!G70,0)</f>
        <v/>
      </c>
      <c r="E70">
        <f>'Monthly Tracker'!J70</f>
        <v/>
      </c>
      <c r="F70">
        <f>B70*0.007</f>
        <v/>
      </c>
      <c r="G70">
        <f>C70+D70+E70-F70</f>
        <v/>
      </c>
      <c r="H70">
        <f>B70-G70</f>
        <v/>
      </c>
    </row>
    <row r="71">
      <c r="B71">
        <f>H70</f>
        <v/>
      </c>
      <c r="C71">
        <f>IF('Monthly Tracker'!D71="Y",'Monthly Tracker'!E71,0)</f>
        <v/>
      </c>
      <c r="D71">
        <f>IF('Monthly Tracker'!F71="Y",'Monthly Tracker'!G71,0)</f>
        <v/>
      </c>
      <c r="E71">
        <f>'Monthly Tracker'!J71</f>
        <v/>
      </c>
      <c r="F71">
        <f>B71*0.007</f>
        <v/>
      </c>
      <c r="G71">
        <f>C71+D71+E71-F71</f>
        <v/>
      </c>
      <c r="H71">
        <f>B71-G71</f>
        <v/>
      </c>
    </row>
    <row r="72">
      <c r="B72">
        <f>H71</f>
        <v/>
      </c>
      <c r="C72">
        <f>IF('Monthly Tracker'!D72="Y",'Monthly Tracker'!E72,0)</f>
        <v/>
      </c>
      <c r="D72">
        <f>IF('Monthly Tracker'!F72="Y",'Monthly Tracker'!G72,0)</f>
        <v/>
      </c>
      <c r="E72">
        <f>'Monthly Tracker'!J72</f>
        <v/>
      </c>
      <c r="F72">
        <f>B72*0.007</f>
        <v/>
      </c>
      <c r="G72">
        <f>C72+D72+E72-F72</f>
        <v/>
      </c>
      <c r="H72">
        <f>B72-G72</f>
        <v/>
      </c>
    </row>
    <row r="73">
      <c r="B73">
        <f>H72</f>
        <v/>
      </c>
      <c r="C73">
        <f>IF('Monthly Tracker'!D73="Y",'Monthly Tracker'!E73,0)</f>
        <v/>
      </c>
      <c r="D73">
        <f>IF('Monthly Tracker'!F73="Y",'Monthly Tracker'!G73,0)</f>
        <v/>
      </c>
      <c r="E73">
        <f>'Monthly Tracker'!J73</f>
        <v/>
      </c>
      <c r="F73">
        <f>B73*0.007</f>
        <v/>
      </c>
      <c r="G73">
        <f>C73+D73+E73-F73</f>
        <v/>
      </c>
      <c r="H73">
        <f>B73-G73</f>
        <v/>
      </c>
    </row>
    <row r="74">
      <c r="B74">
        <f>H73</f>
        <v/>
      </c>
      <c r="C74">
        <f>IF('Monthly Tracker'!D74="Y",'Monthly Tracker'!E74,0)</f>
        <v/>
      </c>
      <c r="D74">
        <f>IF('Monthly Tracker'!F74="Y",'Monthly Tracker'!G74,0)</f>
        <v/>
      </c>
      <c r="E74">
        <f>'Monthly Tracker'!J74</f>
        <v/>
      </c>
      <c r="F74">
        <f>B74*0.007</f>
        <v/>
      </c>
      <c r="G74">
        <f>C74+D74+E74-F74</f>
        <v/>
      </c>
      <c r="H74">
        <f>B74-G74</f>
        <v/>
      </c>
    </row>
    <row r="75">
      <c r="B75">
        <f>H74</f>
        <v/>
      </c>
      <c r="C75">
        <f>IF('Monthly Tracker'!D75="Y",'Monthly Tracker'!E75,0)</f>
        <v/>
      </c>
      <c r="D75">
        <f>IF('Monthly Tracker'!F75="Y",'Monthly Tracker'!G75,0)</f>
        <v/>
      </c>
      <c r="E75">
        <f>'Monthly Tracker'!J75</f>
        <v/>
      </c>
      <c r="F75">
        <f>B75*0.007</f>
        <v/>
      </c>
      <c r="G75">
        <f>C75+D75+E75-F75</f>
        <v/>
      </c>
      <c r="H75">
        <f>B75-G75</f>
        <v/>
      </c>
    </row>
    <row r="76">
      <c r="B76">
        <f>H75</f>
        <v/>
      </c>
      <c r="C76">
        <f>IF('Monthly Tracker'!D76="Y",'Monthly Tracker'!E76,0)</f>
        <v/>
      </c>
      <c r="D76">
        <f>IF('Monthly Tracker'!F76="Y",'Monthly Tracker'!G76,0)</f>
        <v/>
      </c>
      <c r="E76">
        <f>'Monthly Tracker'!J76</f>
        <v/>
      </c>
      <c r="F76">
        <f>B76*0.007</f>
        <v/>
      </c>
      <c r="G76">
        <f>C76+D76+E76-F76</f>
        <v/>
      </c>
      <c r="H76">
        <f>B76-G76</f>
        <v/>
      </c>
    </row>
    <row r="77">
      <c r="B77">
        <f>H76</f>
        <v/>
      </c>
      <c r="C77">
        <f>IF('Monthly Tracker'!D77="Y",'Monthly Tracker'!E77,0)</f>
        <v/>
      </c>
      <c r="D77">
        <f>IF('Monthly Tracker'!F77="Y",'Monthly Tracker'!G77,0)</f>
        <v/>
      </c>
      <c r="E77">
        <f>'Monthly Tracker'!J77</f>
        <v/>
      </c>
      <c r="F77">
        <f>B77*0.007</f>
        <v/>
      </c>
      <c r="G77">
        <f>C77+D77+E77-F77</f>
        <v/>
      </c>
      <c r="H77">
        <f>B77-G77</f>
        <v/>
      </c>
    </row>
    <row r="78">
      <c r="B78">
        <f>H77</f>
        <v/>
      </c>
      <c r="C78">
        <f>IF('Monthly Tracker'!D78="Y",'Monthly Tracker'!E78,0)</f>
        <v/>
      </c>
      <c r="D78">
        <f>IF('Monthly Tracker'!F78="Y",'Monthly Tracker'!G78,0)</f>
        <v/>
      </c>
      <c r="E78">
        <f>'Monthly Tracker'!J78</f>
        <v/>
      </c>
      <c r="F78">
        <f>B78*0.007</f>
        <v/>
      </c>
      <c r="G78">
        <f>C78+D78+E78-F78</f>
        <v/>
      </c>
      <c r="H78">
        <f>B78-G78</f>
        <v/>
      </c>
    </row>
    <row r="79">
      <c r="B79">
        <f>H78</f>
        <v/>
      </c>
      <c r="C79">
        <f>IF('Monthly Tracker'!D79="Y",'Monthly Tracker'!E79,0)</f>
        <v/>
      </c>
      <c r="D79">
        <f>IF('Monthly Tracker'!F79="Y",'Monthly Tracker'!G79,0)</f>
        <v/>
      </c>
      <c r="E79">
        <f>'Monthly Tracker'!J79</f>
        <v/>
      </c>
      <c r="F79">
        <f>B79*0.007</f>
        <v/>
      </c>
      <c r="G79">
        <f>C79+D79+E79-F79</f>
        <v/>
      </c>
      <c r="H79">
        <f>B79-G79</f>
        <v/>
      </c>
    </row>
    <row r="80">
      <c r="B80">
        <f>H79</f>
        <v/>
      </c>
      <c r="C80">
        <f>IF('Monthly Tracker'!D80="Y",'Monthly Tracker'!E80,0)</f>
        <v/>
      </c>
      <c r="D80">
        <f>IF('Monthly Tracker'!F80="Y",'Monthly Tracker'!G80,0)</f>
        <v/>
      </c>
      <c r="E80">
        <f>'Monthly Tracker'!J80</f>
        <v/>
      </c>
      <c r="F80">
        <f>B80*0.007</f>
        <v/>
      </c>
      <c r="G80">
        <f>C80+D80+E80-F80</f>
        <v/>
      </c>
      <c r="H80">
        <f>B80-G80</f>
        <v/>
      </c>
    </row>
    <row r="81">
      <c r="B81">
        <f>H80</f>
        <v/>
      </c>
      <c r="C81">
        <f>IF('Monthly Tracker'!D81="Y",'Monthly Tracker'!E81,0)</f>
        <v/>
      </c>
      <c r="D81">
        <f>IF('Monthly Tracker'!F81="Y",'Monthly Tracker'!G81,0)</f>
        <v/>
      </c>
      <c r="E81">
        <f>'Monthly Tracker'!J81</f>
        <v/>
      </c>
      <c r="F81">
        <f>B81*0.007</f>
        <v/>
      </c>
      <c r="G81">
        <f>C81+D81+E81-F81</f>
        <v/>
      </c>
      <c r="H81">
        <f>B81-G81</f>
        <v/>
      </c>
    </row>
    <row r="82">
      <c r="B82">
        <f>H81</f>
        <v/>
      </c>
      <c r="C82">
        <f>IF('Monthly Tracker'!D82="Y",'Monthly Tracker'!E82,0)</f>
        <v/>
      </c>
      <c r="D82">
        <f>IF('Monthly Tracker'!F82="Y",'Monthly Tracker'!G82,0)</f>
        <v/>
      </c>
      <c r="E82">
        <f>'Monthly Tracker'!J82</f>
        <v/>
      </c>
      <c r="F82">
        <f>B82*0.007</f>
        <v/>
      </c>
      <c r="G82">
        <f>C82+D82+E82-F82</f>
        <v/>
      </c>
      <c r="H82">
        <f>B82-G82</f>
        <v/>
      </c>
    </row>
    <row r="83">
      <c r="B83">
        <f>H82</f>
        <v/>
      </c>
      <c r="C83">
        <f>IF('Monthly Tracker'!D83="Y",'Monthly Tracker'!E83,0)</f>
        <v/>
      </c>
      <c r="D83">
        <f>IF('Monthly Tracker'!F83="Y",'Monthly Tracker'!G83,0)</f>
        <v/>
      </c>
      <c r="E83">
        <f>'Monthly Tracker'!J83</f>
        <v/>
      </c>
      <c r="F83">
        <f>B83*0.007</f>
        <v/>
      </c>
      <c r="G83">
        <f>C83+D83+E83-F83</f>
        <v/>
      </c>
      <c r="H83">
        <f>B83-G83</f>
        <v/>
      </c>
    </row>
    <row r="84">
      <c r="B84">
        <f>H83</f>
        <v/>
      </c>
      <c r="C84">
        <f>IF('Monthly Tracker'!D84="Y",'Monthly Tracker'!E84,0)</f>
        <v/>
      </c>
      <c r="D84">
        <f>IF('Monthly Tracker'!F84="Y",'Monthly Tracker'!G84,0)</f>
        <v/>
      </c>
      <c r="E84">
        <f>'Monthly Tracker'!J84</f>
        <v/>
      </c>
      <c r="F84">
        <f>B84*0.007</f>
        <v/>
      </c>
      <c r="G84">
        <f>C84+D84+E84-F84</f>
        <v/>
      </c>
      <c r="H84">
        <f>B84-G84</f>
        <v/>
      </c>
    </row>
    <row r="85">
      <c r="B85">
        <f>H84</f>
        <v/>
      </c>
      <c r="C85">
        <f>IF('Monthly Tracker'!D85="Y",'Monthly Tracker'!E85,0)</f>
        <v/>
      </c>
      <c r="D85">
        <f>IF('Monthly Tracker'!F85="Y",'Monthly Tracker'!G85,0)</f>
        <v/>
      </c>
      <c r="E85">
        <f>'Monthly Tracker'!J85</f>
        <v/>
      </c>
      <c r="F85">
        <f>B85*0.007</f>
        <v/>
      </c>
      <c r="G85">
        <f>C85+D85+E85-F85</f>
        <v/>
      </c>
      <c r="H85">
        <f>B85-G85</f>
        <v/>
      </c>
    </row>
    <row r="86">
      <c r="B86">
        <f>H85</f>
        <v/>
      </c>
      <c r="C86">
        <f>IF('Monthly Tracker'!D86="Y",'Monthly Tracker'!E86,0)</f>
        <v/>
      </c>
      <c r="D86">
        <f>IF('Monthly Tracker'!F86="Y",'Monthly Tracker'!G86,0)</f>
        <v/>
      </c>
      <c r="E86">
        <f>'Monthly Tracker'!J86</f>
        <v/>
      </c>
      <c r="F86">
        <f>B86*0.007</f>
        <v/>
      </c>
      <c r="G86">
        <f>C86+D86+E86-F86</f>
        <v/>
      </c>
      <c r="H86">
        <f>B86-G86</f>
        <v/>
      </c>
    </row>
    <row r="87">
      <c r="B87">
        <f>H86</f>
        <v/>
      </c>
      <c r="C87">
        <f>IF('Monthly Tracker'!D87="Y",'Monthly Tracker'!E87,0)</f>
        <v/>
      </c>
      <c r="D87">
        <f>IF('Monthly Tracker'!F87="Y",'Monthly Tracker'!G87,0)</f>
        <v/>
      </c>
      <c r="E87">
        <f>'Monthly Tracker'!J87</f>
        <v/>
      </c>
      <c r="F87">
        <f>B87*0.007</f>
        <v/>
      </c>
      <c r="G87">
        <f>C87+D87+E87-F87</f>
        <v/>
      </c>
      <c r="H87">
        <f>B87-G87</f>
        <v/>
      </c>
    </row>
    <row r="88">
      <c r="B88">
        <f>H87</f>
        <v/>
      </c>
      <c r="C88">
        <f>IF('Monthly Tracker'!D88="Y",'Monthly Tracker'!E88,0)</f>
        <v/>
      </c>
      <c r="D88">
        <f>IF('Monthly Tracker'!F88="Y",'Monthly Tracker'!G88,0)</f>
        <v/>
      </c>
      <c r="E88">
        <f>'Monthly Tracker'!J88</f>
        <v/>
      </c>
      <c r="F88">
        <f>B88*0.007</f>
        <v/>
      </c>
      <c r="G88">
        <f>C88+D88+E88-F88</f>
        <v/>
      </c>
      <c r="H88">
        <f>B88-G88</f>
        <v/>
      </c>
    </row>
    <row r="89">
      <c r="B89">
        <f>H88</f>
        <v/>
      </c>
      <c r="C89">
        <f>IF('Monthly Tracker'!D89="Y",'Monthly Tracker'!E89,0)</f>
        <v/>
      </c>
      <c r="D89">
        <f>IF('Monthly Tracker'!F89="Y",'Monthly Tracker'!G89,0)</f>
        <v/>
      </c>
      <c r="E89">
        <f>'Monthly Tracker'!J89</f>
        <v/>
      </c>
      <c r="F89">
        <f>B89*0.007</f>
        <v/>
      </c>
      <c r="G89">
        <f>C89+D89+E89-F89</f>
        <v/>
      </c>
      <c r="H89">
        <f>B89-G89</f>
        <v/>
      </c>
    </row>
    <row r="90">
      <c r="B90">
        <f>H89</f>
        <v/>
      </c>
      <c r="C90">
        <f>IF('Monthly Tracker'!D90="Y",'Monthly Tracker'!E90,0)</f>
        <v/>
      </c>
      <c r="D90">
        <f>IF('Monthly Tracker'!F90="Y",'Monthly Tracker'!G90,0)</f>
        <v/>
      </c>
      <c r="E90">
        <f>'Monthly Tracker'!J90</f>
        <v/>
      </c>
      <c r="F90">
        <f>B90*0.007</f>
        <v/>
      </c>
      <c r="G90">
        <f>C90+D90+E90-F90</f>
        <v/>
      </c>
      <c r="H90">
        <f>B90-G90</f>
        <v/>
      </c>
    </row>
    <row r="91">
      <c r="B91">
        <f>H90</f>
        <v/>
      </c>
      <c r="C91">
        <f>IF('Monthly Tracker'!D91="Y",'Monthly Tracker'!E91,0)</f>
        <v/>
      </c>
      <c r="D91">
        <f>IF('Monthly Tracker'!F91="Y",'Monthly Tracker'!G91,0)</f>
        <v/>
      </c>
      <c r="E91">
        <f>'Monthly Tracker'!J91</f>
        <v/>
      </c>
      <c r="F91">
        <f>B91*0.007</f>
        <v/>
      </c>
      <c r="G91">
        <f>C91+D91+E91-F91</f>
        <v/>
      </c>
      <c r="H91">
        <f>B91-G91</f>
        <v/>
      </c>
    </row>
    <row r="92">
      <c r="B92">
        <f>H91</f>
        <v/>
      </c>
      <c r="C92">
        <f>IF('Monthly Tracker'!D92="Y",'Monthly Tracker'!E92,0)</f>
        <v/>
      </c>
      <c r="D92">
        <f>IF('Monthly Tracker'!F92="Y",'Monthly Tracker'!G92,0)</f>
        <v/>
      </c>
      <c r="E92">
        <f>'Monthly Tracker'!J92</f>
        <v/>
      </c>
      <c r="F92">
        <f>B92*0.007</f>
        <v/>
      </c>
      <c r="G92">
        <f>C92+D92+E92-F92</f>
        <v/>
      </c>
      <c r="H92">
        <f>B92-G92</f>
        <v/>
      </c>
    </row>
    <row r="93">
      <c r="B93">
        <f>H92</f>
        <v/>
      </c>
      <c r="C93">
        <f>IF('Monthly Tracker'!D93="Y",'Monthly Tracker'!E93,0)</f>
        <v/>
      </c>
      <c r="D93">
        <f>IF('Monthly Tracker'!F93="Y",'Monthly Tracker'!G93,0)</f>
        <v/>
      </c>
      <c r="E93">
        <f>'Monthly Tracker'!J93</f>
        <v/>
      </c>
      <c r="F93">
        <f>B93*0.007</f>
        <v/>
      </c>
      <c r="G93">
        <f>C93+D93+E93-F93</f>
        <v/>
      </c>
      <c r="H93">
        <f>B93-G93</f>
        <v/>
      </c>
    </row>
    <row r="94">
      <c r="B94">
        <f>H93</f>
        <v/>
      </c>
      <c r="C94">
        <f>IF('Monthly Tracker'!D94="Y",'Monthly Tracker'!E94,0)</f>
        <v/>
      </c>
      <c r="D94">
        <f>IF('Monthly Tracker'!F94="Y",'Monthly Tracker'!G94,0)</f>
        <v/>
      </c>
      <c r="E94">
        <f>'Monthly Tracker'!J94</f>
        <v/>
      </c>
      <c r="F94">
        <f>B94*0.007</f>
        <v/>
      </c>
      <c r="G94">
        <f>C94+D94+E94-F94</f>
        <v/>
      </c>
      <c r="H94">
        <f>B94-G94</f>
        <v/>
      </c>
    </row>
    <row r="95">
      <c r="B95">
        <f>H94</f>
        <v/>
      </c>
      <c r="C95">
        <f>IF('Monthly Tracker'!D95="Y",'Monthly Tracker'!E95,0)</f>
        <v/>
      </c>
      <c r="D95">
        <f>IF('Monthly Tracker'!F95="Y",'Monthly Tracker'!G95,0)</f>
        <v/>
      </c>
      <c r="E95">
        <f>'Monthly Tracker'!J95</f>
        <v/>
      </c>
      <c r="F95">
        <f>B95*0.007</f>
        <v/>
      </c>
      <c r="G95">
        <f>C95+D95+E95-F95</f>
        <v/>
      </c>
      <c r="H95">
        <f>B95-G95</f>
        <v/>
      </c>
    </row>
    <row r="96">
      <c r="B96">
        <f>H95</f>
        <v/>
      </c>
      <c r="C96">
        <f>IF('Monthly Tracker'!D96="Y",'Monthly Tracker'!E96,0)</f>
        <v/>
      </c>
      <c r="D96">
        <f>IF('Monthly Tracker'!F96="Y",'Monthly Tracker'!G96,0)</f>
        <v/>
      </c>
      <c r="E96">
        <f>'Monthly Tracker'!J96</f>
        <v/>
      </c>
      <c r="F96">
        <f>B96*0.007</f>
        <v/>
      </c>
      <c r="G96">
        <f>C96+D96+E96-F96</f>
        <v/>
      </c>
      <c r="H96">
        <f>B96-G96</f>
        <v/>
      </c>
    </row>
    <row r="97">
      <c r="B97">
        <f>H96</f>
        <v/>
      </c>
      <c r="C97">
        <f>IF('Monthly Tracker'!D97="Y",'Monthly Tracker'!E97,0)</f>
        <v/>
      </c>
      <c r="D97">
        <f>IF('Monthly Tracker'!F97="Y",'Monthly Tracker'!G97,0)</f>
        <v/>
      </c>
      <c r="E97">
        <f>'Monthly Tracker'!J97</f>
        <v/>
      </c>
      <c r="F97">
        <f>B97*0.007</f>
        <v/>
      </c>
      <c r="G97">
        <f>C97+D97+E97-F97</f>
        <v/>
      </c>
      <c r="H97">
        <f>B97-G97</f>
        <v/>
      </c>
    </row>
    <row r="98">
      <c r="B98">
        <f>H97</f>
        <v/>
      </c>
      <c r="C98">
        <f>IF('Monthly Tracker'!D98="Y",'Monthly Tracker'!E98,0)</f>
        <v/>
      </c>
      <c r="D98">
        <f>IF('Monthly Tracker'!F98="Y",'Monthly Tracker'!G98,0)</f>
        <v/>
      </c>
      <c r="E98">
        <f>'Monthly Tracker'!J98</f>
        <v/>
      </c>
      <c r="F98">
        <f>B98*0.007</f>
        <v/>
      </c>
      <c r="G98">
        <f>C98+D98+E98-F98</f>
        <v/>
      </c>
      <c r="H98">
        <f>B98-G98</f>
        <v/>
      </c>
    </row>
    <row r="99">
      <c r="B99">
        <f>H98</f>
        <v/>
      </c>
      <c r="C99">
        <f>IF('Monthly Tracker'!D99="Y",'Monthly Tracker'!E99,0)</f>
        <v/>
      </c>
      <c r="D99">
        <f>IF('Monthly Tracker'!F99="Y",'Monthly Tracker'!G99,0)</f>
        <v/>
      </c>
      <c r="E99">
        <f>'Monthly Tracker'!J99</f>
        <v/>
      </c>
      <c r="F99">
        <f>B99*0.007</f>
        <v/>
      </c>
      <c r="G99">
        <f>C99+D99+E99-F99</f>
        <v/>
      </c>
      <c r="H99">
        <f>B99-G99</f>
        <v/>
      </c>
    </row>
    <row r="100">
      <c r="B100">
        <f>H99</f>
        <v/>
      </c>
      <c r="C100">
        <f>IF('Monthly Tracker'!D100="Y",'Monthly Tracker'!E100,0)</f>
        <v/>
      </c>
      <c r="D100">
        <f>IF('Monthly Tracker'!F100="Y",'Monthly Tracker'!G100,0)</f>
        <v/>
      </c>
      <c r="E100">
        <f>'Monthly Tracker'!J100</f>
        <v/>
      </c>
      <c r="F100">
        <f>B100*0.007</f>
        <v/>
      </c>
      <c r="G100">
        <f>C100+D100+E100-F100</f>
        <v/>
      </c>
      <c r="H100">
        <f>B100-G100</f>
        <v/>
      </c>
    </row>
    <row r="101">
      <c r="B101">
        <f>H100</f>
        <v/>
      </c>
      <c r="C101">
        <f>IF('Monthly Tracker'!D101="Y",'Monthly Tracker'!E101,0)</f>
        <v/>
      </c>
      <c r="D101">
        <f>IF('Monthly Tracker'!F101="Y",'Monthly Tracker'!G101,0)</f>
        <v/>
      </c>
      <c r="E101">
        <f>'Monthly Tracker'!J101</f>
        <v/>
      </c>
      <c r="F101">
        <f>B101*0.007</f>
        <v/>
      </c>
      <c r="G101">
        <f>C101+D101+E101-F101</f>
        <v/>
      </c>
      <c r="H101">
        <f>B101-G101</f>
        <v/>
      </c>
    </row>
    <row r="102">
      <c r="B102">
        <f>H101</f>
        <v/>
      </c>
      <c r="C102">
        <f>IF('Monthly Tracker'!D102="Y",'Monthly Tracker'!E102,0)</f>
        <v/>
      </c>
      <c r="D102">
        <f>IF('Monthly Tracker'!F102="Y",'Monthly Tracker'!G102,0)</f>
        <v/>
      </c>
      <c r="E102">
        <f>'Monthly Tracker'!J102</f>
        <v/>
      </c>
      <c r="F102">
        <f>B102*0.007</f>
        <v/>
      </c>
      <c r="G102">
        <f>C102+D102+E102-F102</f>
        <v/>
      </c>
      <c r="H102">
        <f>B102-G102</f>
        <v/>
      </c>
    </row>
    <row r="103">
      <c r="B103">
        <f>H102</f>
        <v/>
      </c>
      <c r="C103">
        <f>IF('Monthly Tracker'!D103="Y",'Monthly Tracker'!E103,0)</f>
        <v/>
      </c>
      <c r="D103">
        <f>IF('Monthly Tracker'!F103="Y",'Monthly Tracker'!G103,0)</f>
        <v/>
      </c>
      <c r="E103">
        <f>'Monthly Tracker'!J103</f>
        <v/>
      </c>
      <c r="F103">
        <f>B103*0.007</f>
        <v/>
      </c>
      <c r="G103">
        <f>C103+D103+E103-F103</f>
        <v/>
      </c>
      <c r="H103">
        <f>B103-G103</f>
        <v/>
      </c>
    </row>
    <row r="104">
      <c r="B104">
        <f>H103</f>
        <v/>
      </c>
      <c r="C104">
        <f>IF('Monthly Tracker'!D104="Y",'Monthly Tracker'!E104,0)</f>
        <v/>
      </c>
      <c r="D104">
        <f>IF('Monthly Tracker'!F104="Y",'Monthly Tracker'!G104,0)</f>
        <v/>
      </c>
      <c r="E104">
        <f>'Monthly Tracker'!J104</f>
        <v/>
      </c>
      <c r="F104">
        <f>B104*0.007</f>
        <v/>
      </c>
      <c r="G104">
        <f>C104+D104+E104-F104</f>
        <v/>
      </c>
      <c r="H104">
        <f>B104-G104</f>
        <v/>
      </c>
    </row>
    <row r="105">
      <c r="B105">
        <f>H104</f>
        <v/>
      </c>
      <c r="C105">
        <f>IF('Monthly Tracker'!D105="Y",'Monthly Tracker'!E105,0)</f>
        <v/>
      </c>
      <c r="D105">
        <f>IF('Monthly Tracker'!F105="Y",'Monthly Tracker'!G105,0)</f>
        <v/>
      </c>
      <c r="E105">
        <f>'Monthly Tracker'!J105</f>
        <v/>
      </c>
      <c r="F105">
        <f>B105*0.007</f>
        <v/>
      </c>
      <c r="G105">
        <f>C105+D105+E105-F105</f>
        <v/>
      </c>
      <c r="H105">
        <f>B105-G105</f>
        <v/>
      </c>
    </row>
    <row r="106">
      <c r="B106">
        <f>H105</f>
        <v/>
      </c>
      <c r="C106">
        <f>IF('Monthly Tracker'!D106="Y",'Monthly Tracker'!E106,0)</f>
        <v/>
      </c>
      <c r="D106">
        <f>IF('Monthly Tracker'!F106="Y",'Monthly Tracker'!G106,0)</f>
        <v/>
      </c>
      <c r="E106">
        <f>'Monthly Tracker'!J106</f>
        <v/>
      </c>
      <c r="F106">
        <f>B106*0.007</f>
        <v/>
      </c>
      <c r="G106">
        <f>C106+D106+E106-F106</f>
        <v/>
      </c>
      <c r="H106">
        <f>B106-G106</f>
        <v/>
      </c>
    </row>
    <row r="107">
      <c r="B107">
        <f>H106</f>
        <v/>
      </c>
      <c r="C107">
        <f>IF('Monthly Tracker'!D107="Y",'Monthly Tracker'!E107,0)</f>
        <v/>
      </c>
      <c r="D107">
        <f>IF('Monthly Tracker'!F107="Y",'Monthly Tracker'!G107,0)</f>
        <v/>
      </c>
      <c r="E107">
        <f>'Monthly Tracker'!J107</f>
        <v/>
      </c>
      <c r="F107">
        <f>B107*0.007</f>
        <v/>
      </c>
      <c r="G107">
        <f>C107+D107+E107-F107</f>
        <v/>
      </c>
      <c r="H107">
        <f>B107-G107</f>
        <v/>
      </c>
    </row>
    <row r="108">
      <c r="B108">
        <f>H107</f>
        <v/>
      </c>
      <c r="C108">
        <f>IF('Monthly Tracker'!D108="Y",'Monthly Tracker'!E108,0)</f>
        <v/>
      </c>
      <c r="D108">
        <f>IF('Monthly Tracker'!F108="Y",'Monthly Tracker'!G108,0)</f>
        <v/>
      </c>
      <c r="E108">
        <f>'Monthly Tracker'!J108</f>
        <v/>
      </c>
      <c r="F108">
        <f>B108*0.007</f>
        <v/>
      </c>
      <c r="G108">
        <f>C108+D108+E108-F108</f>
        <v/>
      </c>
      <c r="H108">
        <f>B108-G108</f>
        <v/>
      </c>
    </row>
    <row r="109">
      <c r="B109">
        <f>H108</f>
        <v/>
      </c>
      <c r="C109">
        <f>IF('Monthly Tracker'!D109="Y",'Monthly Tracker'!E109,0)</f>
        <v/>
      </c>
      <c r="D109">
        <f>IF('Monthly Tracker'!F109="Y",'Monthly Tracker'!G109,0)</f>
        <v/>
      </c>
      <c r="E109">
        <f>'Monthly Tracker'!J109</f>
        <v/>
      </c>
      <c r="F109">
        <f>B109*0.007</f>
        <v/>
      </c>
      <c r="G109">
        <f>C109+D109+E109-F109</f>
        <v/>
      </c>
      <c r="H109">
        <f>B109-G109</f>
        <v/>
      </c>
    </row>
    <row r="110">
      <c r="B110">
        <f>H109</f>
        <v/>
      </c>
      <c r="C110">
        <f>IF('Monthly Tracker'!D110="Y",'Monthly Tracker'!E110,0)</f>
        <v/>
      </c>
      <c r="D110">
        <f>IF('Monthly Tracker'!F110="Y",'Monthly Tracker'!G110,0)</f>
        <v/>
      </c>
      <c r="E110">
        <f>'Monthly Tracker'!J110</f>
        <v/>
      </c>
      <c r="F110">
        <f>B110*0.007</f>
        <v/>
      </c>
      <c r="G110">
        <f>C110+D110+E110-F110</f>
        <v/>
      </c>
      <c r="H110">
        <f>B110-G110</f>
        <v/>
      </c>
    </row>
    <row r="111">
      <c r="B111">
        <f>H110</f>
        <v/>
      </c>
      <c r="C111">
        <f>IF('Monthly Tracker'!D111="Y",'Monthly Tracker'!E111,0)</f>
        <v/>
      </c>
      <c r="D111">
        <f>IF('Monthly Tracker'!F111="Y",'Monthly Tracker'!G111,0)</f>
        <v/>
      </c>
      <c r="E111">
        <f>'Monthly Tracker'!J111</f>
        <v/>
      </c>
      <c r="F111">
        <f>B111*0.007</f>
        <v/>
      </c>
      <c r="G111">
        <f>C111+D111+E111-F111</f>
        <v/>
      </c>
      <c r="H111">
        <f>B111-G111</f>
        <v/>
      </c>
    </row>
    <row r="112">
      <c r="B112">
        <f>H111</f>
        <v/>
      </c>
      <c r="C112">
        <f>IF('Monthly Tracker'!D112="Y",'Monthly Tracker'!E112,0)</f>
        <v/>
      </c>
      <c r="D112">
        <f>IF('Monthly Tracker'!F112="Y",'Monthly Tracker'!G112,0)</f>
        <v/>
      </c>
      <c r="E112">
        <f>'Monthly Tracker'!J112</f>
        <v/>
      </c>
      <c r="F112">
        <f>B112*0.007</f>
        <v/>
      </c>
      <c r="G112">
        <f>C112+D112+E112-F112</f>
        <v/>
      </c>
      <c r="H112">
        <f>B112-G112</f>
        <v/>
      </c>
    </row>
    <row r="113">
      <c r="B113">
        <f>H112</f>
        <v/>
      </c>
      <c r="C113">
        <f>IF('Monthly Tracker'!D113="Y",'Monthly Tracker'!E113,0)</f>
        <v/>
      </c>
      <c r="D113">
        <f>IF('Monthly Tracker'!F113="Y",'Monthly Tracker'!G113,0)</f>
        <v/>
      </c>
      <c r="E113">
        <f>'Monthly Tracker'!J113</f>
        <v/>
      </c>
      <c r="F113">
        <f>B113*0.007</f>
        <v/>
      </c>
      <c r="G113">
        <f>C113+D113+E113-F113</f>
        <v/>
      </c>
      <c r="H113">
        <f>B113-G113</f>
        <v/>
      </c>
    </row>
    <row r="114">
      <c r="B114">
        <f>H113</f>
        <v/>
      </c>
      <c r="C114">
        <f>IF('Monthly Tracker'!D114="Y",'Monthly Tracker'!E114,0)</f>
        <v/>
      </c>
      <c r="D114">
        <f>IF('Monthly Tracker'!F114="Y",'Monthly Tracker'!G114,0)</f>
        <v/>
      </c>
      <c r="E114">
        <f>'Monthly Tracker'!J114</f>
        <v/>
      </c>
      <c r="F114">
        <f>B114*0.007</f>
        <v/>
      </c>
      <c r="G114">
        <f>C114+D114+E114-F114</f>
        <v/>
      </c>
      <c r="H114">
        <f>B114-G114</f>
        <v/>
      </c>
    </row>
    <row r="115">
      <c r="B115">
        <f>H114</f>
        <v/>
      </c>
      <c r="C115">
        <f>IF('Monthly Tracker'!D115="Y",'Monthly Tracker'!E115,0)</f>
        <v/>
      </c>
      <c r="D115">
        <f>IF('Monthly Tracker'!F115="Y",'Monthly Tracker'!G115,0)</f>
        <v/>
      </c>
      <c r="E115">
        <f>'Monthly Tracker'!J115</f>
        <v/>
      </c>
      <c r="F115">
        <f>B115*0.007</f>
        <v/>
      </c>
      <c r="G115">
        <f>C115+D115+E115-F115</f>
        <v/>
      </c>
      <c r="H115">
        <f>B115-G115</f>
        <v/>
      </c>
    </row>
    <row r="116">
      <c r="B116">
        <f>H115</f>
        <v/>
      </c>
      <c r="C116">
        <f>IF('Monthly Tracker'!D116="Y",'Monthly Tracker'!E116,0)</f>
        <v/>
      </c>
      <c r="D116">
        <f>IF('Monthly Tracker'!F116="Y",'Monthly Tracker'!G116,0)</f>
        <v/>
      </c>
      <c r="E116">
        <f>'Monthly Tracker'!J116</f>
        <v/>
      </c>
      <c r="F116">
        <f>B116*0.007</f>
        <v/>
      </c>
      <c r="G116">
        <f>C116+D116+E116-F116</f>
        <v/>
      </c>
      <c r="H116">
        <f>B116-G116</f>
        <v/>
      </c>
    </row>
    <row r="117">
      <c r="B117">
        <f>H116</f>
        <v/>
      </c>
      <c r="C117">
        <f>IF('Monthly Tracker'!D117="Y",'Monthly Tracker'!E117,0)</f>
        <v/>
      </c>
      <c r="D117">
        <f>IF('Monthly Tracker'!F117="Y",'Monthly Tracker'!G117,0)</f>
        <v/>
      </c>
      <c r="E117">
        <f>'Monthly Tracker'!J117</f>
        <v/>
      </c>
      <c r="F117">
        <f>B117*0.007</f>
        <v/>
      </c>
      <c r="G117">
        <f>C117+D117+E117-F117</f>
        <v/>
      </c>
      <c r="H117">
        <f>B117-G117</f>
        <v/>
      </c>
    </row>
    <row r="118">
      <c r="B118">
        <f>H117</f>
        <v/>
      </c>
      <c r="C118">
        <f>IF('Monthly Tracker'!D118="Y",'Monthly Tracker'!E118,0)</f>
        <v/>
      </c>
      <c r="D118">
        <f>IF('Monthly Tracker'!F118="Y",'Monthly Tracker'!G118,0)</f>
        <v/>
      </c>
      <c r="E118">
        <f>'Monthly Tracker'!J118</f>
        <v/>
      </c>
      <c r="F118">
        <f>B118*0.007</f>
        <v/>
      </c>
      <c r="G118">
        <f>C118+D118+E118-F118</f>
        <v/>
      </c>
      <c r="H118">
        <f>B118-G118</f>
        <v/>
      </c>
    </row>
    <row r="119">
      <c r="B119">
        <f>H118</f>
        <v/>
      </c>
      <c r="C119">
        <f>IF('Monthly Tracker'!D119="Y",'Monthly Tracker'!E119,0)</f>
        <v/>
      </c>
      <c r="D119">
        <f>IF('Monthly Tracker'!F119="Y",'Monthly Tracker'!G119,0)</f>
        <v/>
      </c>
      <c r="E119">
        <f>'Monthly Tracker'!J119</f>
        <v/>
      </c>
      <c r="F119">
        <f>B119*0.007</f>
        <v/>
      </c>
      <c r="G119">
        <f>C119+D119+E119-F119</f>
        <v/>
      </c>
      <c r="H119">
        <f>B119-G119</f>
        <v/>
      </c>
    </row>
    <row r="120">
      <c r="B120">
        <f>H119</f>
        <v/>
      </c>
      <c r="C120">
        <f>IF('Monthly Tracker'!D120="Y",'Monthly Tracker'!E120,0)</f>
        <v/>
      </c>
      <c r="D120">
        <f>IF('Monthly Tracker'!F120="Y",'Monthly Tracker'!G120,0)</f>
        <v/>
      </c>
      <c r="E120">
        <f>'Monthly Tracker'!J120</f>
        <v/>
      </c>
      <c r="F120">
        <f>B120*0.007</f>
        <v/>
      </c>
      <c r="G120">
        <f>C120+D120+E120-F120</f>
        <v/>
      </c>
      <c r="H120">
        <f>B120-G120</f>
        <v/>
      </c>
    </row>
    <row r="121">
      <c r="B121">
        <f>H120</f>
        <v/>
      </c>
      <c r="C121">
        <f>IF('Monthly Tracker'!D121="Y",'Monthly Tracker'!E121,0)</f>
        <v/>
      </c>
      <c r="D121">
        <f>IF('Monthly Tracker'!F121="Y",'Monthly Tracker'!G121,0)</f>
        <v/>
      </c>
      <c r="E121">
        <f>'Monthly Tracker'!J121</f>
        <v/>
      </c>
      <c r="F121">
        <f>B121*0.007</f>
        <v/>
      </c>
      <c r="G121">
        <f>C121+D121+E121-F121</f>
        <v/>
      </c>
      <c r="H121">
        <f>B121-G121</f>
        <v/>
      </c>
    </row>
    <row r="122">
      <c r="B122">
        <f>H121</f>
        <v/>
      </c>
      <c r="C122">
        <f>IF('Monthly Tracker'!D122="Y",'Monthly Tracker'!E122,0)</f>
        <v/>
      </c>
      <c r="D122">
        <f>IF('Monthly Tracker'!F122="Y",'Monthly Tracker'!G122,0)</f>
        <v/>
      </c>
      <c r="E122">
        <f>'Monthly Tracker'!J122</f>
        <v/>
      </c>
      <c r="F122">
        <f>B122*0.007</f>
        <v/>
      </c>
      <c r="G122">
        <f>C122+D122+E122-F122</f>
        <v/>
      </c>
      <c r="H122">
        <f>B122-G122</f>
        <v/>
      </c>
    </row>
    <row r="123">
      <c r="B123">
        <f>H122</f>
        <v/>
      </c>
      <c r="C123">
        <f>IF('Monthly Tracker'!D123="Y",'Monthly Tracker'!E123,0)</f>
        <v/>
      </c>
      <c r="D123">
        <f>IF('Monthly Tracker'!F123="Y",'Monthly Tracker'!G123,0)</f>
        <v/>
      </c>
      <c r="E123">
        <f>'Monthly Tracker'!J123</f>
        <v/>
      </c>
      <c r="F123">
        <f>B123*0.007</f>
        <v/>
      </c>
      <c r="G123">
        <f>C123+D123+E123-F123</f>
        <v/>
      </c>
      <c r="H123">
        <f>B123-G123</f>
        <v/>
      </c>
    </row>
    <row r="124">
      <c r="B124">
        <f>H123</f>
        <v/>
      </c>
      <c r="C124">
        <f>IF('Monthly Tracker'!D124="Y",'Monthly Tracker'!E124,0)</f>
        <v/>
      </c>
      <c r="D124">
        <f>IF('Monthly Tracker'!F124="Y",'Monthly Tracker'!G124,0)</f>
        <v/>
      </c>
      <c r="E124">
        <f>'Monthly Tracker'!J124</f>
        <v/>
      </c>
      <c r="F124">
        <f>B124*0.007</f>
        <v/>
      </c>
      <c r="G124">
        <f>C124+D124+E124-F124</f>
        <v/>
      </c>
      <c r="H124">
        <f>B124-G124</f>
        <v/>
      </c>
    </row>
    <row r="125">
      <c r="B125">
        <f>H124</f>
        <v/>
      </c>
      <c r="C125">
        <f>IF('Monthly Tracker'!D125="Y",'Monthly Tracker'!E125,0)</f>
        <v/>
      </c>
      <c r="D125">
        <f>IF('Monthly Tracker'!F125="Y",'Monthly Tracker'!G125,0)</f>
        <v/>
      </c>
      <c r="E125">
        <f>'Monthly Tracker'!J125</f>
        <v/>
      </c>
      <c r="F125">
        <f>B125*0.007</f>
        <v/>
      </c>
      <c r="G125">
        <f>C125+D125+E125-F125</f>
        <v/>
      </c>
      <c r="H125">
        <f>B125-G125</f>
        <v/>
      </c>
    </row>
    <row r="126">
      <c r="B126">
        <f>H125</f>
        <v/>
      </c>
      <c r="C126">
        <f>IF('Monthly Tracker'!D126="Y",'Monthly Tracker'!E126,0)</f>
        <v/>
      </c>
      <c r="D126">
        <f>IF('Monthly Tracker'!F126="Y",'Monthly Tracker'!G126,0)</f>
        <v/>
      </c>
      <c r="E126">
        <f>'Monthly Tracker'!J126</f>
        <v/>
      </c>
      <c r="F126">
        <f>B126*0.007</f>
        <v/>
      </c>
      <c r="G126">
        <f>C126+D126+E126-F126</f>
        <v/>
      </c>
      <c r="H126">
        <f>B126-G126</f>
        <v/>
      </c>
    </row>
    <row r="127">
      <c r="B127">
        <f>H126</f>
        <v/>
      </c>
      <c r="C127">
        <f>IF('Monthly Tracker'!D127="Y",'Monthly Tracker'!E127,0)</f>
        <v/>
      </c>
      <c r="D127">
        <f>IF('Monthly Tracker'!F127="Y",'Monthly Tracker'!G127,0)</f>
        <v/>
      </c>
      <c r="E127">
        <f>'Monthly Tracker'!J127</f>
        <v/>
      </c>
      <c r="F127">
        <f>B127*0.007</f>
        <v/>
      </c>
      <c r="G127">
        <f>C127+D127+E127-F127</f>
        <v/>
      </c>
      <c r="H127">
        <f>B127-G127</f>
        <v/>
      </c>
    </row>
    <row r="128">
      <c r="B128">
        <f>H127</f>
        <v/>
      </c>
      <c r="C128">
        <f>IF('Monthly Tracker'!D128="Y",'Monthly Tracker'!E128,0)</f>
        <v/>
      </c>
      <c r="D128">
        <f>IF('Monthly Tracker'!F128="Y",'Monthly Tracker'!G128,0)</f>
        <v/>
      </c>
      <c r="E128">
        <f>'Monthly Tracker'!J128</f>
        <v/>
      </c>
      <c r="F128">
        <f>B128*0.007</f>
        <v/>
      </c>
      <c r="G128">
        <f>C128+D128+E128-F128</f>
        <v/>
      </c>
      <c r="H128">
        <f>B128-G128</f>
        <v/>
      </c>
    </row>
    <row r="129">
      <c r="B129">
        <f>H128</f>
        <v/>
      </c>
      <c r="C129">
        <f>IF('Monthly Tracker'!D129="Y",'Monthly Tracker'!E129,0)</f>
        <v/>
      </c>
      <c r="D129">
        <f>IF('Monthly Tracker'!F129="Y",'Monthly Tracker'!G129,0)</f>
        <v/>
      </c>
      <c r="E129">
        <f>'Monthly Tracker'!J129</f>
        <v/>
      </c>
      <c r="F129">
        <f>B129*0.007</f>
        <v/>
      </c>
      <c r="G129">
        <f>C129+D129+E129-F129</f>
        <v/>
      </c>
      <c r="H129">
        <f>B129-G129</f>
        <v/>
      </c>
    </row>
    <row r="130">
      <c r="B130">
        <f>H129</f>
        <v/>
      </c>
      <c r="C130">
        <f>IF('Monthly Tracker'!D130="Y",'Monthly Tracker'!E130,0)</f>
        <v/>
      </c>
      <c r="D130">
        <f>IF('Monthly Tracker'!F130="Y",'Monthly Tracker'!G130,0)</f>
        <v/>
      </c>
      <c r="E130">
        <f>'Monthly Tracker'!J130</f>
        <v/>
      </c>
      <c r="F130">
        <f>B130*0.007</f>
        <v/>
      </c>
      <c r="G130">
        <f>C130+D130+E130-F130</f>
        <v/>
      </c>
      <c r="H130">
        <f>B130-G130</f>
        <v/>
      </c>
    </row>
    <row r="131">
      <c r="B131">
        <f>H130</f>
        <v/>
      </c>
      <c r="C131">
        <f>IF('Monthly Tracker'!D131="Y",'Monthly Tracker'!E131,0)</f>
        <v/>
      </c>
      <c r="D131">
        <f>IF('Monthly Tracker'!F131="Y",'Monthly Tracker'!G131,0)</f>
        <v/>
      </c>
      <c r="E131">
        <f>'Monthly Tracker'!J131</f>
        <v/>
      </c>
      <c r="F131">
        <f>B131*0.007</f>
        <v/>
      </c>
      <c r="G131">
        <f>C131+D131+E131-F131</f>
        <v/>
      </c>
      <c r="H131">
        <f>B131-G131</f>
        <v/>
      </c>
    </row>
    <row r="132">
      <c r="B132">
        <f>H131</f>
        <v/>
      </c>
      <c r="C132">
        <f>IF('Monthly Tracker'!D132="Y",'Monthly Tracker'!E132,0)</f>
        <v/>
      </c>
      <c r="D132">
        <f>IF('Monthly Tracker'!F132="Y",'Monthly Tracker'!G132,0)</f>
        <v/>
      </c>
      <c r="E132">
        <f>'Monthly Tracker'!J132</f>
        <v/>
      </c>
      <c r="F132">
        <f>B132*0.007</f>
        <v/>
      </c>
      <c r="G132">
        <f>C132+D132+E132-F132</f>
        <v/>
      </c>
      <c r="H132">
        <f>B132-G132</f>
        <v/>
      </c>
    </row>
    <row r="133">
      <c r="B133">
        <f>H132</f>
        <v/>
      </c>
      <c r="C133">
        <f>IF('Monthly Tracker'!D133="Y",'Monthly Tracker'!E133,0)</f>
        <v/>
      </c>
      <c r="D133">
        <f>IF('Monthly Tracker'!F133="Y",'Monthly Tracker'!G133,0)</f>
        <v/>
      </c>
      <c r="E133">
        <f>'Monthly Tracker'!J133</f>
        <v/>
      </c>
      <c r="F133">
        <f>B133*0.007</f>
        <v/>
      </c>
      <c r="G133">
        <f>C133+D133+E133-F133</f>
        <v/>
      </c>
      <c r="H133">
        <f>B133-G133</f>
        <v/>
      </c>
    </row>
    <row r="134">
      <c r="B134">
        <f>H133</f>
        <v/>
      </c>
      <c r="C134">
        <f>IF('Monthly Tracker'!D134="Y",'Monthly Tracker'!E134,0)</f>
        <v/>
      </c>
      <c r="D134">
        <f>IF('Monthly Tracker'!F134="Y",'Monthly Tracker'!G134,0)</f>
        <v/>
      </c>
      <c r="E134">
        <f>'Monthly Tracker'!J134</f>
        <v/>
      </c>
      <c r="F134">
        <f>B134*0.007</f>
        <v/>
      </c>
      <c r="G134">
        <f>C134+D134+E134-F134</f>
        <v/>
      </c>
      <c r="H134">
        <f>B134-G134</f>
        <v/>
      </c>
    </row>
    <row r="135">
      <c r="B135">
        <f>H134</f>
        <v/>
      </c>
      <c r="C135">
        <f>IF('Monthly Tracker'!D135="Y",'Monthly Tracker'!E135,0)</f>
        <v/>
      </c>
      <c r="D135">
        <f>IF('Monthly Tracker'!F135="Y",'Monthly Tracker'!G135,0)</f>
        <v/>
      </c>
      <c r="E135">
        <f>'Monthly Tracker'!J135</f>
        <v/>
      </c>
      <c r="F135">
        <f>B135*0.007</f>
        <v/>
      </c>
      <c r="G135">
        <f>C135+D135+E135-F135</f>
        <v/>
      </c>
      <c r="H135">
        <f>B135-G135</f>
        <v/>
      </c>
    </row>
    <row r="136">
      <c r="B136">
        <f>H135</f>
        <v/>
      </c>
      <c r="C136">
        <f>IF('Monthly Tracker'!D136="Y",'Monthly Tracker'!E136,0)</f>
        <v/>
      </c>
      <c r="D136">
        <f>IF('Monthly Tracker'!F136="Y",'Monthly Tracker'!G136,0)</f>
        <v/>
      </c>
      <c r="E136">
        <f>'Monthly Tracker'!J136</f>
        <v/>
      </c>
      <c r="F136">
        <f>B136*0.007</f>
        <v/>
      </c>
      <c r="G136">
        <f>C136+D136+E136-F136</f>
        <v/>
      </c>
      <c r="H136">
        <f>B136-G136</f>
        <v/>
      </c>
    </row>
    <row r="137">
      <c r="B137">
        <f>H136</f>
        <v/>
      </c>
      <c r="C137">
        <f>IF('Monthly Tracker'!D137="Y",'Monthly Tracker'!E137,0)</f>
        <v/>
      </c>
      <c r="D137">
        <f>IF('Monthly Tracker'!F137="Y",'Monthly Tracker'!G137,0)</f>
        <v/>
      </c>
      <c r="E137">
        <f>'Monthly Tracker'!J137</f>
        <v/>
      </c>
      <c r="F137">
        <f>B137*0.007</f>
        <v/>
      </c>
      <c r="G137">
        <f>C137+D137+E137-F137</f>
        <v/>
      </c>
      <c r="H137">
        <f>B137-G137</f>
        <v/>
      </c>
    </row>
    <row r="138">
      <c r="B138">
        <f>H137</f>
        <v/>
      </c>
      <c r="C138">
        <f>IF('Monthly Tracker'!D138="Y",'Monthly Tracker'!E138,0)</f>
        <v/>
      </c>
      <c r="D138">
        <f>IF('Monthly Tracker'!F138="Y",'Monthly Tracker'!G138,0)</f>
        <v/>
      </c>
      <c r="E138">
        <f>'Monthly Tracker'!J138</f>
        <v/>
      </c>
      <c r="F138">
        <f>B138*0.007</f>
        <v/>
      </c>
      <c r="G138">
        <f>C138+D138+E138-F138</f>
        <v/>
      </c>
      <c r="H138">
        <f>B138-G138</f>
        <v/>
      </c>
    </row>
    <row r="139">
      <c r="B139">
        <f>H138</f>
        <v/>
      </c>
      <c r="C139">
        <f>IF('Monthly Tracker'!D139="Y",'Monthly Tracker'!E139,0)</f>
        <v/>
      </c>
      <c r="D139">
        <f>IF('Monthly Tracker'!F139="Y",'Monthly Tracker'!G139,0)</f>
        <v/>
      </c>
      <c r="E139">
        <f>'Monthly Tracker'!J139</f>
        <v/>
      </c>
      <c r="F139">
        <f>B139*0.007</f>
        <v/>
      </c>
      <c r="G139">
        <f>C139+D139+E139-F139</f>
        <v/>
      </c>
      <c r="H139">
        <f>B139-G139</f>
        <v/>
      </c>
    </row>
    <row r="140">
      <c r="B140">
        <f>H139</f>
        <v/>
      </c>
      <c r="C140">
        <f>IF('Monthly Tracker'!D140="Y",'Monthly Tracker'!E140,0)</f>
        <v/>
      </c>
      <c r="D140">
        <f>IF('Monthly Tracker'!F140="Y",'Monthly Tracker'!G140,0)</f>
        <v/>
      </c>
      <c r="E140">
        <f>'Monthly Tracker'!J140</f>
        <v/>
      </c>
      <c r="F140">
        <f>B140*0.007</f>
        <v/>
      </c>
      <c r="G140">
        <f>C140+D140+E140-F140</f>
        <v/>
      </c>
      <c r="H140">
        <f>B140-G140</f>
        <v/>
      </c>
    </row>
    <row r="141">
      <c r="B141">
        <f>H140</f>
        <v/>
      </c>
      <c r="C141">
        <f>IF('Monthly Tracker'!D141="Y",'Monthly Tracker'!E141,0)</f>
        <v/>
      </c>
      <c r="D141">
        <f>IF('Monthly Tracker'!F141="Y",'Monthly Tracker'!G141,0)</f>
        <v/>
      </c>
      <c r="E141">
        <f>'Monthly Tracker'!J141</f>
        <v/>
      </c>
      <c r="F141">
        <f>B141*0.007</f>
        <v/>
      </c>
      <c r="G141">
        <f>C141+D141+E141-F141</f>
        <v/>
      </c>
      <c r="H141">
        <f>B141-G141</f>
        <v/>
      </c>
    </row>
    <row r="142">
      <c r="B142">
        <f>H141</f>
        <v/>
      </c>
      <c r="C142">
        <f>IF('Monthly Tracker'!D142="Y",'Monthly Tracker'!E142,0)</f>
        <v/>
      </c>
      <c r="D142">
        <f>IF('Monthly Tracker'!F142="Y",'Monthly Tracker'!G142,0)</f>
        <v/>
      </c>
      <c r="E142">
        <f>'Monthly Tracker'!J142</f>
        <v/>
      </c>
      <c r="F142">
        <f>B142*0.007</f>
        <v/>
      </c>
      <c r="G142">
        <f>C142+D142+E142-F142</f>
        <v/>
      </c>
      <c r="H142">
        <f>B142-G142</f>
        <v/>
      </c>
    </row>
    <row r="143">
      <c r="B143">
        <f>H142</f>
        <v/>
      </c>
      <c r="C143">
        <f>IF('Monthly Tracker'!D143="Y",'Monthly Tracker'!E143,0)</f>
        <v/>
      </c>
      <c r="D143">
        <f>IF('Monthly Tracker'!F143="Y",'Monthly Tracker'!G143,0)</f>
        <v/>
      </c>
      <c r="E143">
        <f>'Monthly Tracker'!J143</f>
        <v/>
      </c>
      <c r="F143">
        <f>B143*0.007</f>
        <v/>
      </c>
      <c r="G143">
        <f>C143+D143+E143-F143</f>
        <v/>
      </c>
      <c r="H143">
        <f>B143-G143</f>
        <v/>
      </c>
    </row>
    <row r="144">
      <c r="B144">
        <f>H143</f>
        <v/>
      </c>
      <c r="C144">
        <f>IF('Monthly Tracker'!D144="Y",'Monthly Tracker'!E144,0)</f>
        <v/>
      </c>
      <c r="D144">
        <f>IF('Monthly Tracker'!F144="Y",'Monthly Tracker'!G144,0)</f>
        <v/>
      </c>
      <c r="E144">
        <f>'Monthly Tracker'!J144</f>
        <v/>
      </c>
      <c r="F144">
        <f>B144*0.007</f>
        <v/>
      </c>
      <c r="G144">
        <f>C144+D144+E144-F144</f>
        <v/>
      </c>
      <c r="H144">
        <f>B144-G144</f>
        <v/>
      </c>
    </row>
    <row r="145">
      <c r="B145">
        <f>H144</f>
        <v/>
      </c>
      <c r="C145">
        <f>IF('Monthly Tracker'!D145="Y",'Monthly Tracker'!E145,0)</f>
        <v/>
      </c>
      <c r="D145">
        <f>IF('Monthly Tracker'!F145="Y",'Monthly Tracker'!G145,0)</f>
        <v/>
      </c>
      <c r="E145">
        <f>'Monthly Tracker'!J145</f>
        <v/>
      </c>
      <c r="F145">
        <f>B145*0.007</f>
        <v/>
      </c>
      <c r="G145">
        <f>C145+D145+E145-F145</f>
        <v/>
      </c>
      <c r="H145">
        <f>B145-G145</f>
        <v/>
      </c>
    </row>
    <row r="146">
      <c r="B146">
        <f>H145</f>
        <v/>
      </c>
      <c r="C146">
        <f>IF('Monthly Tracker'!D146="Y",'Monthly Tracker'!E146,0)</f>
        <v/>
      </c>
      <c r="D146">
        <f>IF('Monthly Tracker'!F146="Y",'Monthly Tracker'!G146,0)</f>
        <v/>
      </c>
      <c r="E146">
        <f>'Monthly Tracker'!J146</f>
        <v/>
      </c>
      <c r="F146">
        <f>B146*0.007</f>
        <v/>
      </c>
      <c r="G146">
        <f>C146+D146+E146-F146</f>
        <v/>
      </c>
      <c r="H146">
        <f>B146-G146</f>
        <v/>
      </c>
    </row>
    <row r="147">
      <c r="B147">
        <f>H146</f>
        <v/>
      </c>
      <c r="C147">
        <f>IF('Monthly Tracker'!D147="Y",'Monthly Tracker'!E147,0)</f>
        <v/>
      </c>
      <c r="D147">
        <f>IF('Monthly Tracker'!F147="Y",'Monthly Tracker'!G147,0)</f>
        <v/>
      </c>
      <c r="E147">
        <f>'Monthly Tracker'!J147</f>
        <v/>
      </c>
      <c r="F147">
        <f>B147*0.007</f>
        <v/>
      </c>
      <c r="G147">
        <f>C147+D147+E147-F147</f>
        <v/>
      </c>
      <c r="H147">
        <f>B147-G147</f>
        <v/>
      </c>
    </row>
    <row r="148">
      <c r="B148">
        <f>H147</f>
        <v/>
      </c>
      <c r="C148">
        <f>IF('Monthly Tracker'!D148="Y",'Monthly Tracker'!E148,0)</f>
        <v/>
      </c>
      <c r="D148">
        <f>IF('Monthly Tracker'!F148="Y",'Monthly Tracker'!G148,0)</f>
        <v/>
      </c>
      <c r="E148">
        <f>'Monthly Tracker'!J148</f>
        <v/>
      </c>
      <c r="F148">
        <f>B148*0.007</f>
        <v/>
      </c>
      <c r="G148">
        <f>C148+D148+E148-F148</f>
        <v/>
      </c>
      <c r="H148">
        <f>B148-G148</f>
        <v/>
      </c>
    </row>
    <row r="149">
      <c r="B149">
        <f>H148</f>
        <v/>
      </c>
      <c r="C149">
        <f>IF('Monthly Tracker'!D149="Y",'Monthly Tracker'!E149,0)</f>
        <v/>
      </c>
      <c r="D149">
        <f>IF('Monthly Tracker'!F149="Y",'Monthly Tracker'!G149,0)</f>
        <v/>
      </c>
      <c r="E149">
        <f>'Monthly Tracker'!J149</f>
        <v/>
      </c>
      <c r="F149">
        <f>B149*0.007</f>
        <v/>
      </c>
      <c r="G149">
        <f>C149+D149+E149-F149</f>
        <v/>
      </c>
      <c r="H149">
        <f>B149-G149</f>
        <v/>
      </c>
    </row>
    <row r="150">
      <c r="B150">
        <f>H149</f>
        <v/>
      </c>
      <c r="C150">
        <f>IF('Monthly Tracker'!D150="Y",'Monthly Tracker'!E150,0)</f>
        <v/>
      </c>
      <c r="D150">
        <f>IF('Monthly Tracker'!F150="Y",'Monthly Tracker'!G150,0)</f>
        <v/>
      </c>
      <c r="E150">
        <f>'Monthly Tracker'!J150</f>
        <v/>
      </c>
      <c r="F150">
        <f>B150*0.007</f>
        <v/>
      </c>
      <c r="G150">
        <f>C150+D150+E150-F150</f>
        <v/>
      </c>
      <c r="H150">
        <f>B150-G150</f>
        <v/>
      </c>
    </row>
    <row r="151">
      <c r="B151">
        <f>H150</f>
        <v/>
      </c>
      <c r="C151">
        <f>IF('Monthly Tracker'!D151="Y",'Monthly Tracker'!E151,0)</f>
        <v/>
      </c>
      <c r="D151">
        <f>IF('Monthly Tracker'!F151="Y",'Monthly Tracker'!G151,0)</f>
        <v/>
      </c>
      <c r="E151">
        <f>'Monthly Tracker'!J151</f>
        <v/>
      </c>
      <c r="F151">
        <f>B151*0.007</f>
        <v/>
      </c>
      <c r="G151">
        <f>C151+D151+E151-F151</f>
        <v/>
      </c>
      <c r="H151">
        <f>B151-G151</f>
        <v/>
      </c>
    </row>
    <row r="152">
      <c r="B152">
        <f>H151</f>
        <v/>
      </c>
      <c r="C152">
        <f>IF('Monthly Tracker'!D152="Y",'Monthly Tracker'!E152,0)</f>
        <v/>
      </c>
      <c r="D152">
        <f>IF('Monthly Tracker'!F152="Y",'Monthly Tracker'!G152,0)</f>
        <v/>
      </c>
      <c r="E152">
        <f>'Monthly Tracker'!J152</f>
        <v/>
      </c>
      <c r="F152">
        <f>B152*0.007</f>
        <v/>
      </c>
      <c r="G152">
        <f>C152+D152+E152-F152</f>
        <v/>
      </c>
      <c r="H152">
        <f>B152-G152</f>
        <v/>
      </c>
    </row>
    <row r="153">
      <c r="B153">
        <f>H152</f>
        <v/>
      </c>
      <c r="C153">
        <f>IF('Monthly Tracker'!D153="Y",'Monthly Tracker'!E153,0)</f>
        <v/>
      </c>
      <c r="D153">
        <f>IF('Monthly Tracker'!F153="Y",'Monthly Tracker'!G153,0)</f>
        <v/>
      </c>
      <c r="E153">
        <f>'Monthly Tracker'!J153</f>
        <v/>
      </c>
      <c r="F153">
        <f>B153*0.007</f>
        <v/>
      </c>
      <c r="G153">
        <f>C153+D153+E153-F153</f>
        <v/>
      </c>
      <c r="H153">
        <f>B153-G153</f>
        <v/>
      </c>
    </row>
    <row r="154">
      <c r="B154">
        <f>H153</f>
        <v/>
      </c>
      <c r="C154">
        <f>IF('Monthly Tracker'!D154="Y",'Monthly Tracker'!E154,0)</f>
        <v/>
      </c>
      <c r="D154">
        <f>IF('Monthly Tracker'!F154="Y",'Monthly Tracker'!G154,0)</f>
        <v/>
      </c>
      <c r="E154">
        <f>'Monthly Tracker'!J154</f>
        <v/>
      </c>
      <c r="F154">
        <f>B154*0.007</f>
        <v/>
      </c>
      <c r="G154">
        <f>C154+D154+E154-F154</f>
        <v/>
      </c>
      <c r="H154">
        <f>B154-G154</f>
        <v/>
      </c>
    </row>
    <row r="155">
      <c r="B155">
        <f>H154</f>
        <v/>
      </c>
      <c r="C155">
        <f>IF('Monthly Tracker'!D155="Y",'Monthly Tracker'!E155,0)</f>
        <v/>
      </c>
      <c r="D155">
        <f>IF('Monthly Tracker'!F155="Y",'Monthly Tracker'!G155,0)</f>
        <v/>
      </c>
      <c r="E155">
        <f>'Monthly Tracker'!J155</f>
        <v/>
      </c>
      <c r="F155">
        <f>B155*0.007</f>
        <v/>
      </c>
      <c r="G155">
        <f>C155+D155+E155-F155</f>
        <v/>
      </c>
      <c r="H155">
        <f>B155-G155</f>
        <v/>
      </c>
    </row>
    <row r="156">
      <c r="B156">
        <f>H155</f>
        <v/>
      </c>
      <c r="C156">
        <f>IF('Monthly Tracker'!D156="Y",'Monthly Tracker'!E156,0)</f>
        <v/>
      </c>
      <c r="D156">
        <f>IF('Monthly Tracker'!F156="Y",'Monthly Tracker'!G156,0)</f>
        <v/>
      </c>
      <c r="E156">
        <f>'Monthly Tracker'!J156</f>
        <v/>
      </c>
      <c r="F156">
        <f>B156*0.007</f>
        <v/>
      </c>
      <c r="G156">
        <f>C156+D156+E156-F156</f>
        <v/>
      </c>
      <c r="H156">
        <f>B156-G156</f>
        <v/>
      </c>
    </row>
    <row r="157">
      <c r="B157">
        <f>H156</f>
        <v/>
      </c>
      <c r="C157">
        <f>IF('Monthly Tracker'!D157="Y",'Monthly Tracker'!E157,0)</f>
        <v/>
      </c>
      <c r="D157">
        <f>IF('Monthly Tracker'!F157="Y",'Monthly Tracker'!G157,0)</f>
        <v/>
      </c>
      <c r="E157">
        <f>'Monthly Tracker'!J157</f>
        <v/>
      </c>
      <c r="F157">
        <f>B157*0.007</f>
        <v/>
      </c>
      <c r="G157">
        <f>C157+D157+E157-F157</f>
        <v/>
      </c>
      <c r="H157">
        <f>B157-G157</f>
        <v/>
      </c>
    </row>
    <row r="158">
      <c r="B158">
        <f>H157</f>
        <v/>
      </c>
      <c r="C158">
        <f>IF('Monthly Tracker'!D158="Y",'Monthly Tracker'!E158,0)</f>
        <v/>
      </c>
      <c r="D158">
        <f>IF('Monthly Tracker'!F158="Y",'Monthly Tracker'!G158,0)</f>
        <v/>
      </c>
      <c r="E158">
        <f>'Monthly Tracker'!J158</f>
        <v/>
      </c>
      <c r="F158">
        <f>B158*0.007</f>
        <v/>
      </c>
      <c r="G158">
        <f>C158+D158+E158-F158</f>
        <v/>
      </c>
      <c r="H158">
        <f>B158-G158</f>
        <v/>
      </c>
    </row>
    <row r="159">
      <c r="B159">
        <f>H158</f>
        <v/>
      </c>
      <c r="C159">
        <f>IF('Monthly Tracker'!D159="Y",'Monthly Tracker'!E159,0)</f>
        <v/>
      </c>
      <c r="D159">
        <f>IF('Monthly Tracker'!F159="Y",'Monthly Tracker'!G159,0)</f>
        <v/>
      </c>
      <c r="E159">
        <f>'Monthly Tracker'!J159</f>
        <v/>
      </c>
      <c r="F159">
        <f>B159*0.007</f>
        <v/>
      </c>
      <c r="G159">
        <f>C159+D159+E159-F159</f>
        <v/>
      </c>
      <c r="H159">
        <f>B159-G159</f>
        <v/>
      </c>
    </row>
    <row r="160">
      <c r="B160">
        <f>H159</f>
        <v/>
      </c>
      <c r="C160">
        <f>IF('Monthly Tracker'!D160="Y",'Monthly Tracker'!E160,0)</f>
        <v/>
      </c>
      <c r="D160">
        <f>IF('Monthly Tracker'!F160="Y",'Monthly Tracker'!G160,0)</f>
        <v/>
      </c>
      <c r="E160">
        <f>'Monthly Tracker'!J160</f>
        <v/>
      </c>
      <c r="F160">
        <f>B160*0.007</f>
        <v/>
      </c>
      <c r="G160">
        <f>C160+D160+E160-F160</f>
        <v/>
      </c>
      <c r="H160">
        <f>B160-G160</f>
        <v/>
      </c>
    </row>
    <row r="161">
      <c r="B161">
        <f>H160</f>
        <v/>
      </c>
      <c r="C161">
        <f>IF('Monthly Tracker'!D161="Y",'Monthly Tracker'!E161,0)</f>
        <v/>
      </c>
      <c r="D161">
        <f>IF('Monthly Tracker'!F161="Y",'Monthly Tracker'!G161,0)</f>
        <v/>
      </c>
      <c r="E161">
        <f>'Monthly Tracker'!J161</f>
        <v/>
      </c>
      <c r="F161">
        <f>B161*0.007</f>
        <v/>
      </c>
      <c r="G161">
        <f>C161+D161+E161-F161</f>
        <v/>
      </c>
      <c r="H161">
        <f>B161-G161</f>
        <v/>
      </c>
    </row>
    <row r="162">
      <c r="B162">
        <f>H161</f>
        <v/>
      </c>
      <c r="C162">
        <f>IF('Monthly Tracker'!D162="Y",'Monthly Tracker'!E162,0)</f>
        <v/>
      </c>
      <c r="D162">
        <f>IF('Monthly Tracker'!F162="Y",'Monthly Tracker'!G162,0)</f>
        <v/>
      </c>
      <c r="E162">
        <f>'Monthly Tracker'!J162</f>
        <v/>
      </c>
      <c r="F162">
        <f>B162*0.007</f>
        <v/>
      </c>
      <c r="G162">
        <f>C162+D162+E162-F162</f>
        <v/>
      </c>
      <c r="H162">
        <f>B162-G162</f>
        <v/>
      </c>
    </row>
    <row r="163">
      <c r="B163">
        <f>H162</f>
        <v/>
      </c>
      <c r="C163">
        <f>IF('Monthly Tracker'!D163="Y",'Monthly Tracker'!E163,0)</f>
        <v/>
      </c>
      <c r="D163">
        <f>IF('Monthly Tracker'!F163="Y",'Monthly Tracker'!G163,0)</f>
        <v/>
      </c>
      <c r="E163">
        <f>'Monthly Tracker'!J163</f>
        <v/>
      </c>
      <c r="F163">
        <f>B163*0.007</f>
        <v/>
      </c>
      <c r="G163">
        <f>C163+D163+E163-F163</f>
        <v/>
      </c>
      <c r="H163">
        <f>B163-G163</f>
        <v/>
      </c>
    </row>
    <row r="164">
      <c r="B164">
        <f>H163</f>
        <v/>
      </c>
      <c r="C164">
        <f>IF('Monthly Tracker'!D164="Y",'Monthly Tracker'!E164,0)</f>
        <v/>
      </c>
      <c r="D164">
        <f>IF('Monthly Tracker'!F164="Y",'Monthly Tracker'!G164,0)</f>
        <v/>
      </c>
      <c r="E164">
        <f>'Monthly Tracker'!J164</f>
        <v/>
      </c>
      <c r="F164">
        <f>B164*0.007</f>
        <v/>
      </c>
      <c r="G164">
        <f>C164+D164+E164-F164</f>
        <v/>
      </c>
      <c r="H164">
        <f>B164-G164</f>
        <v/>
      </c>
    </row>
    <row r="165">
      <c r="B165">
        <f>H164</f>
        <v/>
      </c>
      <c r="C165">
        <f>IF('Monthly Tracker'!D165="Y",'Monthly Tracker'!E165,0)</f>
        <v/>
      </c>
      <c r="D165">
        <f>IF('Monthly Tracker'!F165="Y",'Monthly Tracker'!G165,0)</f>
        <v/>
      </c>
      <c r="E165">
        <f>'Monthly Tracker'!J165</f>
        <v/>
      </c>
      <c r="F165">
        <f>B165*0.007</f>
        <v/>
      </c>
      <c r="G165">
        <f>C165+D165+E165-F165</f>
        <v/>
      </c>
      <c r="H165">
        <f>B165-G165</f>
        <v/>
      </c>
    </row>
    <row r="166">
      <c r="B166">
        <f>H165</f>
        <v/>
      </c>
      <c r="C166">
        <f>IF('Monthly Tracker'!D166="Y",'Monthly Tracker'!E166,0)</f>
        <v/>
      </c>
      <c r="D166">
        <f>IF('Monthly Tracker'!F166="Y",'Monthly Tracker'!G166,0)</f>
        <v/>
      </c>
      <c r="E166">
        <f>'Monthly Tracker'!J166</f>
        <v/>
      </c>
      <c r="F166">
        <f>B166*0.007</f>
        <v/>
      </c>
      <c r="G166">
        <f>C166+D166+E166-F166</f>
        <v/>
      </c>
      <c r="H166">
        <f>B166-G166</f>
        <v/>
      </c>
    </row>
    <row r="167">
      <c r="B167">
        <f>H166</f>
        <v/>
      </c>
      <c r="C167">
        <f>IF('Monthly Tracker'!D167="Y",'Monthly Tracker'!E167,0)</f>
        <v/>
      </c>
      <c r="D167">
        <f>IF('Monthly Tracker'!F167="Y",'Monthly Tracker'!G167,0)</f>
        <v/>
      </c>
      <c r="E167">
        <f>'Monthly Tracker'!J167</f>
        <v/>
      </c>
      <c r="F167">
        <f>B167*0.007</f>
        <v/>
      </c>
      <c r="G167">
        <f>C167+D167+E167-F167</f>
        <v/>
      </c>
      <c r="H167">
        <f>B167-G167</f>
        <v/>
      </c>
    </row>
    <row r="168">
      <c r="B168">
        <f>H167</f>
        <v/>
      </c>
      <c r="C168">
        <f>IF('Monthly Tracker'!D168="Y",'Monthly Tracker'!E168,0)</f>
        <v/>
      </c>
      <c r="D168">
        <f>IF('Monthly Tracker'!F168="Y",'Monthly Tracker'!G168,0)</f>
        <v/>
      </c>
      <c r="E168">
        <f>'Monthly Tracker'!J168</f>
        <v/>
      </c>
      <c r="F168">
        <f>B168*0.007</f>
        <v/>
      </c>
      <c r="G168">
        <f>C168+D168+E168-F168</f>
        <v/>
      </c>
      <c r="H168">
        <f>B168-G168</f>
        <v/>
      </c>
    </row>
    <row r="169">
      <c r="B169">
        <f>H168</f>
        <v/>
      </c>
      <c r="C169">
        <f>IF('Monthly Tracker'!D169="Y",'Monthly Tracker'!E169,0)</f>
        <v/>
      </c>
      <c r="D169">
        <f>IF('Monthly Tracker'!F169="Y",'Monthly Tracker'!G169,0)</f>
        <v/>
      </c>
      <c r="E169">
        <f>'Monthly Tracker'!J169</f>
        <v/>
      </c>
      <c r="F169">
        <f>B169*0.007</f>
        <v/>
      </c>
      <c r="G169">
        <f>C169+D169+E169-F169</f>
        <v/>
      </c>
      <c r="H169">
        <f>B169-G169</f>
        <v/>
      </c>
    </row>
    <row r="170">
      <c r="B170">
        <f>H169</f>
        <v/>
      </c>
      <c r="C170">
        <f>IF('Monthly Tracker'!D170="Y",'Monthly Tracker'!E170,0)</f>
        <v/>
      </c>
      <c r="D170">
        <f>IF('Monthly Tracker'!F170="Y",'Monthly Tracker'!G170,0)</f>
        <v/>
      </c>
      <c r="E170">
        <f>'Monthly Tracker'!J170</f>
        <v/>
      </c>
      <c r="F170">
        <f>B170*0.007</f>
        <v/>
      </c>
      <c r="G170">
        <f>C170+D170+E170-F170</f>
        <v/>
      </c>
      <c r="H170">
        <f>B170-G170</f>
        <v/>
      </c>
    </row>
    <row r="171">
      <c r="B171">
        <f>H170</f>
        <v/>
      </c>
      <c r="C171">
        <f>IF('Monthly Tracker'!D171="Y",'Monthly Tracker'!E171,0)</f>
        <v/>
      </c>
      <c r="D171">
        <f>IF('Monthly Tracker'!F171="Y",'Monthly Tracker'!G171,0)</f>
        <v/>
      </c>
      <c r="E171">
        <f>'Monthly Tracker'!J171</f>
        <v/>
      </c>
      <c r="F171">
        <f>B171*0.007</f>
        <v/>
      </c>
      <c r="G171">
        <f>C171+D171+E171-F171</f>
        <v/>
      </c>
      <c r="H171">
        <f>B171-G171</f>
        <v/>
      </c>
    </row>
    <row r="172">
      <c r="B172">
        <f>H171</f>
        <v/>
      </c>
      <c r="C172">
        <f>IF('Monthly Tracker'!D172="Y",'Monthly Tracker'!E172,0)</f>
        <v/>
      </c>
      <c r="D172">
        <f>IF('Monthly Tracker'!F172="Y",'Monthly Tracker'!G172,0)</f>
        <v/>
      </c>
      <c r="E172">
        <f>'Monthly Tracker'!J172</f>
        <v/>
      </c>
      <c r="F172">
        <f>B172*0.007</f>
        <v/>
      </c>
      <c r="G172">
        <f>C172+D172+E172-F172</f>
        <v/>
      </c>
      <c r="H172">
        <f>B172-G172</f>
        <v/>
      </c>
    </row>
    <row r="173">
      <c r="B173">
        <f>H172</f>
        <v/>
      </c>
      <c r="C173">
        <f>IF('Monthly Tracker'!D173="Y",'Monthly Tracker'!E173,0)</f>
        <v/>
      </c>
      <c r="D173">
        <f>IF('Monthly Tracker'!F173="Y",'Monthly Tracker'!G173,0)</f>
        <v/>
      </c>
      <c r="E173">
        <f>'Monthly Tracker'!J173</f>
        <v/>
      </c>
      <c r="F173">
        <f>B173*0.007</f>
        <v/>
      </c>
      <c r="G173">
        <f>C173+D173+E173-F173</f>
        <v/>
      </c>
      <c r="H173">
        <f>B173-G173</f>
        <v/>
      </c>
    </row>
    <row r="174">
      <c r="B174">
        <f>H173</f>
        <v/>
      </c>
      <c r="C174">
        <f>IF('Monthly Tracker'!D174="Y",'Monthly Tracker'!E174,0)</f>
        <v/>
      </c>
      <c r="D174">
        <f>IF('Monthly Tracker'!F174="Y",'Monthly Tracker'!G174,0)</f>
        <v/>
      </c>
      <c r="E174">
        <f>'Monthly Tracker'!J174</f>
        <v/>
      </c>
      <c r="F174">
        <f>B174*0.007</f>
        <v/>
      </c>
      <c r="G174">
        <f>C174+D174+E174-F174</f>
        <v/>
      </c>
      <c r="H174">
        <f>B174-G174</f>
        <v/>
      </c>
    </row>
    <row r="175">
      <c r="B175">
        <f>H174</f>
        <v/>
      </c>
      <c r="C175">
        <f>IF('Monthly Tracker'!D175="Y",'Monthly Tracker'!E175,0)</f>
        <v/>
      </c>
      <c r="D175">
        <f>IF('Monthly Tracker'!F175="Y",'Monthly Tracker'!G175,0)</f>
        <v/>
      </c>
      <c r="E175">
        <f>'Monthly Tracker'!J175</f>
        <v/>
      </c>
      <c r="F175">
        <f>B175*0.007</f>
        <v/>
      </c>
      <c r="G175">
        <f>C175+D175+E175-F175</f>
        <v/>
      </c>
      <c r="H175">
        <f>B175-G175</f>
        <v/>
      </c>
    </row>
    <row r="176">
      <c r="B176">
        <f>H175</f>
        <v/>
      </c>
      <c r="C176">
        <f>IF('Monthly Tracker'!D176="Y",'Monthly Tracker'!E176,0)</f>
        <v/>
      </c>
      <c r="D176">
        <f>IF('Monthly Tracker'!F176="Y",'Monthly Tracker'!G176,0)</f>
        <v/>
      </c>
      <c r="E176">
        <f>'Monthly Tracker'!J176</f>
        <v/>
      </c>
      <c r="F176">
        <f>B176*0.007</f>
        <v/>
      </c>
      <c r="G176">
        <f>C176+D176+E176-F176</f>
        <v/>
      </c>
      <c r="H176">
        <f>B176-G176</f>
        <v/>
      </c>
    </row>
    <row r="177">
      <c r="B177">
        <f>H176</f>
        <v/>
      </c>
      <c r="C177">
        <f>IF('Monthly Tracker'!D177="Y",'Monthly Tracker'!E177,0)</f>
        <v/>
      </c>
      <c r="D177">
        <f>IF('Monthly Tracker'!F177="Y",'Monthly Tracker'!G177,0)</f>
        <v/>
      </c>
      <c r="E177">
        <f>'Monthly Tracker'!J177</f>
        <v/>
      </c>
      <c r="F177">
        <f>B177*0.007</f>
        <v/>
      </c>
      <c r="G177">
        <f>C177+D177+E177-F177</f>
        <v/>
      </c>
      <c r="H177">
        <f>B177-G177</f>
        <v/>
      </c>
    </row>
    <row r="178">
      <c r="B178">
        <f>H177</f>
        <v/>
      </c>
      <c r="C178">
        <f>IF('Monthly Tracker'!D178="Y",'Monthly Tracker'!E178,0)</f>
        <v/>
      </c>
      <c r="D178">
        <f>IF('Monthly Tracker'!F178="Y",'Monthly Tracker'!G178,0)</f>
        <v/>
      </c>
      <c r="E178">
        <f>'Monthly Tracker'!J178</f>
        <v/>
      </c>
      <c r="F178">
        <f>B178*0.007</f>
        <v/>
      </c>
      <c r="G178">
        <f>C178+D178+E178-F178</f>
        <v/>
      </c>
      <c r="H178">
        <f>B178-G178</f>
        <v/>
      </c>
    </row>
    <row r="179">
      <c r="B179">
        <f>H178</f>
        <v/>
      </c>
      <c r="C179">
        <f>IF('Monthly Tracker'!D179="Y",'Monthly Tracker'!E179,0)</f>
        <v/>
      </c>
      <c r="D179">
        <f>IF('Monthly Tracker'!F179="Y",'Monthly Tracker'!G179,0)</f>
        <v/>
      </c>
      <c r="E179">
        <f>'Monthly Tracker'!J179</f>
        <v/>
      </c>
      <c r="F179">
        <f>B179*0.007</f>
        <v/>
      </c>
      <c r="G179">
        <f>C179+D179+E179-F179</f>
        <v/>
      </c>
      <c r="H179">
        <f>B179-G179</f>
        <v/>
      </c>
    </row>
    <row r="180">
      <c r="B180">
        <f>H179</f>
        <v/>
      </c>
      <c r="C180">
        <f>IF('Monthly Tracker'!D180="Y",'Monthly Tracker'!E180,0)</f>
        <v/>
      </c>
      <c r="D180">
        <f>IF('Monthly Tracker'!F180="Y",'Monthly Tracker'!G180,0)</f>
        <v/>
      </c>
      <c r="E180">
        <f>'Monthly Tracker'!J180</f>
        <v/>
      </c>
      <c r="F180">
        <f>B180*0.007</f>
        <v/>
      </c>
      <c r="G180">
        <f>C180+D180+E180-F180</f>
        <v/>
      </c>
      <c r="H180">
        <f>B180-G180</f>
        <v/>
      </c>
    </row>
    <row r="181">
      <c r="B181">
        <f>H180</f>
        <v/>
      </c>
      <c r="C181">
        <f>IF('Monthly Tracker'!D181="Y",'Monthly Tracker'!E181,0)</f>
        <v/>
      </c>
      <c r="D181">
        <f>IF('Monthly Tracker'!F181="Y",'Monthly Tracker'!G181,0)</f>
        <v/>
      </c>
      <c r="E181">
        <f>'Monthly Tracker'!J181</f>
        <v/>
      </c>
      <c r="F181">
        <f>B181*0.007</f>
        <v/>
      </c>
      <c r="G181">
        <f>C181+D181+E181-F181</f>
        <v/>
      </c>
      <c r="H181">
        <f>B181-G181</f>
        <v/>
      </c>
    </row>
    <row r="182">
      <c r="B182">
        <f>H181</f>
        <v/>
      </c>
      <c r="C182">
        <f>IF('Monthly Tracker'!D182="Y",'Monthly Tracker'!E182,0)</f>
        <v/>
      </c>
      <c r="D182">
        <f>IF('Monthly Tracker'!F182="Y",'Monthly Tracker'!G182,0)</f>
        <v/>
      </c>
      <c r="E182">
        <f>'Monthly Tracker'!J182</f>
        <v/>
      </c>
      <c r="F182">
        <f>B182*0.007</f>
        <v/>
      </c>
      <c r="G182">
        <f>C182+D182+E182-F182</f>
        <v/>
      </c>
      <c r="H182">
        <f>B182-G182</f>
        <v/>
      </c>
    </row>
    <row r="183">
      <c r="B183">
        <f>H182</f>
        <v/>
      </c>
      <c r="C183">
        <f>IF('Monthly Tracker'!D183="Y",'Monthly Tracker'!E183,0)</f>
        <v/>
      </c>
      <c r="D183">
        <f>IF('Monthly Tracker'!F183="Y",'Monthly Tracker'!G183,0)</f>
        <v/>
      </c>
      <c r="E183">
        <f>'Monthly Tracker'!J183</f>
        <v/>
      </c>
      <c r="F183">
        <f>B183*0.007</f>
        <v/>
      </c>
      <c r="G183">
        <f>C183+D183+E183-F183</f>
        <v/>
      </c>
      <c r="H183">
        <f>B183-G183</f>
        <v/>
      </c>
    </row>
    <row r="184">
      <c r="B184">
        <f>H183</f>
        <v/>
      </c>
      <c r="C184">
        <f>IF('Monthly Tracker'!D184="Y",'Monthly Tracker'!E184,0)</f>
        <v/>
      </c>
      <c r="D184">
        <f>IF('Monthly Tracker'!F184="Y",'Monthly Tracker'!G184,0)</f>
        <v/>
      </c>
      <c r="E184">
        <f>'Monthly Tracker'!J184</f>
        <v/>
      </c>
      <c r="F184">
        <f>B184*0.007</f>
        <v/>
      </c>
      <c r="G184">
        <f>C184+D184+E184-F184</f>
        <v/>
      </c>
      <c r="H184">
        <f>B184-G184</f>
        <v/>
      </c>
    </row>
    <row r="185">
      <c r="B185">
        <f>H184</f>
        <v/>
      </c>
      <c r="C185">
        <f>IF('Monthly Tracker'!D185="Y",'Monthly Tracker'!E185,0)</f>
        <v/>
      </c>
      <c r="D185">
        <f>IF('Monthly Tracker'!F185="Y",'Monthly Tracker'!G185,0)</f>
        <v/>
      </c>
      <c r="E185">
        <f>'Monthly Tracker'!J185</f>
        <v/>
      </c>
      <c r="F185">
        <f>B185*0.007</f>
        <v/>
      </c>
      <c r="G185">
        <f>C185+D185+E185-F185</f>
        <v/>
      </c>
      <c r="H185">
        <f>B185-G185</f>
        <v/>
      </c>
    </row>
    <row r="186">
      <c r="B186">
        <f>H185</f>
        <v/>
      </c>
      <c r="C186">
        <f>IF('Monthly Tracker'!D186="Y",'Monthly Tracker'!E186,0)</f>
        <v/>
      </c>
      <c r="D186">
        <f>IF('Monthly Tracker'!F186="Y",'Monthly Tracker'!G186,0)</f>
        <v/>
      </c>
      <c r="E186">
        <f>'Monthly Tracker'!J186</f>
        <v/>
      </c>
      <c r="F186">
        <f>B186*0.007</f>
        <v/>
      </c>
      <c r="G186">
        <f>C186+D186+E186-F186</f>
        <v/>
      </c>
      <c r="H186">
        <f>B186-G186</f>
        <v/>
      </c>
    </row>
    <row r="187">
      <c r="B187">
        <f>H186</f>
        <v/>
      </c>
      <c r="C187">
        <f>IF('Monthly Tracker'!D187="Y",'Monthly Tracker'!E187,0)</f>
        <v/>
      </c>
      <c r="D187">
        <f>IF('Monthly Tracker'!F187="Y",'Monthly Tracker'!G187,0)</f>
        <v/>
      </c>
      <c r="E187">
        <f>'Monthly Tracker'!J187</f>
        <v/>
      </c>
      <c r="F187">
        <f>B187*0.007</f>
        <v/>
      </c>
      <c r="G187">
        <f>C187+D187+E187-F187</f>
        <v/>
      </c>
      <c r="H187">
        <f>B187-G187</f>
        <v/>
      </c>
    </row>
    <row r="188">
      <c r="B188">
        <f>H187</f>
        <v/>
      </c>
      <c r="C188">
        <f>IF('Monthly Tracker'!D188="Y",'Monthly Tracker'!E188,0)</f>
        <v/>
      </c>
      <c r="D188">
        <f>IF('Monthly Tracker'!F188="Y",'Monthly Tracker'!G188,0)</f>
        <v/>
      </c>
      <c r="E188">
        <f>'Monthly Tracker'!J188</f>
        <v/>
      </c>
      <c r="F188">
        <f>B188*0.007</f>
        <v/>
      </c>
      <c r="G188">
        <f>C188+D188+E188-F188</f>
        <v/>
      </c>
      <c r="H188">
        <f>B188-G188</f>
        <v/>
      </c>
    </row>
    <row r="189">
      <c r="B189">
        <f>H188</f>
        <v/>
      </c>
      <c r="C189">
        <f>IF('Monthly Tracker'!D189="Y",'Monthly Tracker'!E189,0)</f>
        <v/>
      </c>
      <c r="D189">
        <f>IF('Monthly Tracker'!F189="Y",'Monthly Tracker'!G189,0)</f>
        <v/>
      </c>
      <c r="E189">
        <f>'Monthly Tracker'!J189</f>
        <v/>
      </c>
      <c r="F189">
        <f>B189*0.007</f>
        <v/>
      </c>
      <c r="G189">
        <f>C189+D189+E189-F189</f>
        <v/>
      </c>
      <c r="H189">
        <f>B189-G189</f>
        <v/>
      </c>
    </row>
    <row r="190">
      <c r="B190">
        <f>H189</f>
        <v/>
      </c>
      <c r="C190">
        <f>IF('Monthly Tracker'!D190="Y",'Monthly Tracker'!E190,0)</f>
        <v/>
      </c>
      <c r="D190">
        <f>IF('Monthly Tracker'!F190="Y",'Monthly Tracker'!G190,0)</f>
        <v/>
      </c>
      <c r="E190">
        <f>'Monthly Tracker'!J190</f>
        <v/>
      </c>
      <c r="F190">
        <f>B190*0.007</f>
        <v/>
      </c>
      <c r="G190">
        <f>C190+D190+E190-F190</f>
        <v/>
      </c>
      <c r="H190">
        <f>B190-G190</f>
        <v/>
      </c>
    </row>
    <row r="191">
      <c r="B191">
        <f>H190</f>
        <v/>
      </c>
      <c r="C191">
        <f>IF('Monthly Tracker'!D191="Y",'Monthly Tracker'!E191,0)</f>
        <v/>
      </c>
      <c r="D191">
        <f>IF('Monthly Tracker'!F191="Y",'Monthly Tracker'!G191,0)</f>
        <v/>
      </c>
      <c r="E191">
        <f>'Monthly Tracker'!J191</f>
        <v/>
      </c>
      <c r="F191">
        <f>B191*0.007</f>
        <v/>
      </c>
      <c r="G191">
        <f>C191+D191+E191-F191</f>
        <v/>
      </c>
      <c r="H191">
        <f>B191-G191</f>
        <v/>
      </c>
    </row>
    <row r="192">
      <c r="B192">
        <f>H191</f>
        <v/>
      </c>
      <c r="C192">
        <f>IF('Monthly Tracker'!D192="Y",'Monthly Tracker'!E192,0)</f>
        <v/>
      </c>
      <c r="D192">
        <f>IF('Monthly Tracker'!F192="Y",'Monthly Tracker'!G192,0)</f>
        <v/>
      </c>
      <c r="E192">
        <f>'Monthly Tracker'!J192</f>
        <v/>
      </c>
      <c r="F192">
        <f>B192*0.007</f>
        <v/>
      </c>
      <c r="G192">
        <f>C192+D192+E192-F192</f>
        <v/>
      </c>
      <c r="H192">
        <f>B192-G192</f>
        <v/>
      </c>
    </row>
    <row r="193">
      <c r="B193">
        <f>H192</f>
        <v/>
      </c>
      <c r="C193">
        <f>IF('Monthly Tracker'!D193="Y",'Monthly Tracker'!E193,0)</f>
        <v/>
      </c>
      <c r="D193">
        <f>IF('Monthly Tracker'!F193="Y",'Monthly Tracker'!G193,0)</f>
        <v/>
      </c>
      <c r="E193">
        <f>'Monthly Tracker'!J193</f>
        <v/>
      </c>
      <c r="F193">
        <f>B193*0.007</f>
        <v/>
      </c>
      <c r="G193">
        <f>C193+D193+E193-F193</f>
        <v/>
      </c>
      <c r="H193">
        <f>B193-G193</f>
        <v/>
      </c>
    </row>
    <row r="194">
      <c r="B194">
        <f>H193</f>
        <v/>
      </c>
      <c r="C194">
        <f>IF('Monthly Tracker'!D194="Y",'Monthly Tracker'!E194,0)</f>
        <v/>
      </c>
      <c r="D194">
        <f>IF('Monthly Tracker'!F194="Y",'Monthly Tracker'!G194,0)</f>
        <v/>
      </c>
      <c r="E194">
        <f>'Monthly Tracker'!J194</f>
        <v/>
      </c>
      <c r="F194">
        <f>B194*0.007</f>
        <v/>
      </c>
      <c r="G194">
        <f>C194+D194+E194-F194</f>
        <v/>
      </c>
      <c r="H194">
        <f>B194-G194</f>
        <v/>
      </c>
    </row>
    <row r="195">
      <c r="B195">
        <f>H194</f>
        <v/>
      </c>
      <c r="C195">
        <f>IF('Monthly Tracker'!D195="Y",'Monthly Tracker'!E195,0)</f>
        <v/>
      </c>
      <c r="D195">
        <f>IF('Monthly Tracker'!F195="Y",'Monthly Tracker'!G195,0)</f>
        <v/>
      </c>
      <c r="E195">
        <f>'Monthly Tracker'!J195</f>
        <v/>
      </c>
      <c r="F195">
        <f>B195*0.007</f>
        <v/>
      </c>
      <c r="G195">
        <f>C195+D195+E195-F195</f>
        <v/>
      </c>
      <c r="H195">
        <f>B195-G195</f>
        <v/>
      </c>
    </row>
    <row r="196">
      <c r="B196">
        <f>H195</f>
        <v/>
      </c>
      <c r="C196">
        <f>IF('Monthly Tracker'!D196="Y",'Monthly Tracker'!E196,0)</f>
        <v/>
      </c>
      <c r="D196">
        <f>IF('Monthly Tracker'!F196="Y",'Monthly Tracker'!G196,0)</f>
        <v/>
      </c>
      <c r="E196">
        <f>'Monthly Tracker'!J196</f>
        <v/>
      </c>
      <c r="F196">
        <f>B196*0.007</f>
        <v/>
      </c>
      <c r="G196">
        <f>C196+D196+E196-F196</f>
        <v/>
      </c>
      <c r="H196">
        <f>B196-G196</f>
        <v/>
      </c>
    </row>
    <row r="197">
      <c r="B197">
        <f>H196</f>
        <v/>
      </c>
      <c r="C197">
        <f>IF('Monthly Tracker'!D197="Y",'Monthly Tracker'!E197,0)</f>
        <v/>
      </c>
      <c r="D197">
        <f>IF('Monthly Tracker'!F197="Y",'Monthly Tracker'!G197,0)</f>
        <v/>
      </c>
      <c r="E197">
        <f>'Monthly Tracker'!J197</f>
        <v/>
      </c>
      <c r="F197">
        <f>B197*0.007</f>
        <v/>
      </c>
      <c r="G197">
        <f>C197+D197+E197-F197</f>
        <v/>
      </c>
      <c r="H197">
        <f>B197-G197</f>
        <v/>
      </c>
    </row>
    <row r="198">
      <c r="B198">
        <f>H197</f>
        <v/>
      </c>
      <c r="C198">
        <f>IF('Monthly Tracker'!D198="Y",'Monthly Tracker'!E198,0)</f>
        <v/>
      </c>
      <c r="D198">
        <f>IF('Monthly Tracker'!F198="Y",'Monthly Tracker'!G198,0)</f>
        <v/>
      </c>
      <c r="E198">
        <f>'Monthly Tracker'!J198</f>
        <v/>
      </c>
      <c r="F198">
        <f>B198*0.007</f>
        <v/>
      </c>
      <c r="G198">
        <f>C198+D198+E198-F198</f>
        <v/>
      </c>
      <c r="H198">
        <f>B198-G198</f>
        <v/>
      </c>
    </row>
    <row r="199">
      <c r="B199">
        <f>H198</f>
        <v/>
      </c>
      <c r="C199">
        <f>IF('Monthly Tracker'!D199="Y",'Monthly Tracker'!E199,0)</f>
        <v/>
      </c>
      <c r="D199">
        <f>IF('Monthly Tracker'!F199="Y",'Monthly Tracker'!G199,0)</f>
        <v/>
      </c>
      <c r="E199">
        <f>'Monthly Tracker'!J199</f>
        <v/>
      </c>
      <c r="F199">
        <f>B199*0.007</f>
        <v/>
      </c>
      <c r="G199">
        <f>C199+D199+E199-F199</f>
        <v/>
      </c>
      <c r="H199">
        <f>B199-G199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SIP Used</t>
        </is>
      </c>
      <c r="C1" t="inlineStr">
        <is>
          <t>Total Invested</t>
        </is>
      </c>
      <c r="D1" t="inlineStr">
        <is>
          <t>Value</t>
        </is>
      </c>
    </row>
    <row r="2">
      <c r="B2">
        <f>IF('Monthly Tracker'!H2="Y",'Monthly Tracker'!I2,0)</f>
        <v/>
      </c>
      <c r="C2">
        <f>SUM(B2:B2)</f>
        <v/>
      </c>
      <c r="D2">
        <f>B2*(1+0.01)^1</f>
        <v/>
      </c>
    </row>
    <row r="3">
      <c r="B3">
        <f>IF('Monthly Tracker'!H3="Y",'Monthly Tracker'!I3,0)</f>
        <v/>
      </c>
      <c r="C3">
        <f>SUM(B2:B3)</f>
        <v/>
      </c>
      <c r="D3">
        <f>B3*(1+0.01)^2</f>
        <v/>
      </c>
    </row>
    <row r="4">
      <c r="B4">
        <f>IF('Monthly Tracker'!H4="Y",'Monthly Tracker'!I4,0)</f>
        <v/>
      </c>
      <c r="C4">
        <f>SUM(B2:B4)</f>
        <v/>
      </c>
      <c r="D4">
        <f>B4*(1+0.01)^3</f>
        <v/>
      </c>
    </row>
    <row r="5">
      <c r="B5">
        <f>IF('Monthly Tracker'!H5="Y",'Monthly Tracker'!I5,0)</f>
        <v/>
      </c>
      <c r="C5">
        <f>SUM(B2:B5)</f>
        <v/>
      </c>
      <c r="D5">
        <f>B5*(1+0.01)^4</f>
        <v/>
      </c>
    </row>
    <row r="6">
      <c r="B6">
        <f>IF('Monthly Tracker'!H6="Y",'Monthly Tracker'!I6,0)</f>
        <v/>
      </c>
      <c r="C6">
        <f>SUM(B2:B6)</f>
        <v/>
      </c>
      <c r="D6">
        <f>B6*(1+0.01)^5</f>
        <v/>
      </c>
    </row>
    <row r="7">
      <c r="B7">
        <f>IF('Monthly Tracker'!H7="Y",'Monthly Tracker'!I7,0)</f>
        <v/>
      </c>
      <c r="C7">
        <f>SUM(B2:B7)</f>
        <v/>
      </c>
      <c r="D7">
        <f>B7*(1+0.01)^6</f>
        <v/>
      </c>
    </row>
    <row r="8">
      <c r="B8">
        <f>IF('Monthly Tracker'!H8="Y",'Monthly Tracker'!I8,0)</f>
        <v/>
      </c>
      <c r="C8">
        <f>SUM(B2:B8)</f>
        <v/>
      </c>
      <c r="D8">
        <f>B8*(1+0.01)^7</f>
        <v/>
      </c>
    </row>
    <row r="9">
      <c r="B9">
        <f>IF('Monthly Tracker'!H9="Y",'Monthly Tracker'!I9,0)</f>
        <v/>
      </c>
      <c r="C9">
        <f>SUM(B2:B9)</f>
        <v/>
      </c>
      <c r="D9">
        <f>B9*(1+0.01)^8</f>
        <v/>
      </c>
    </row>
    <row r="10">
      <c r="B10">
        <f>IF('Monthly Tracker'!H10="Y",'Monthly Tracker'!I10,0)</f>
        <v/>
      </c>
      <c r="C10">
        <f>SUM(B2:B10)</f>
        <v/>
      </c>
      <c r="D10">
        <f>B10*(1+0.01)^9</f>
        <v/>
      </c>
    </row>
    <row r="11">
      <c r="B11">
        <f>IF('Monthly Tracker'!H11="Y",'Monthly Tracker'!I11,0)</f>
        <v/>
      </c>
      <c r="C11">
        <f>SUM(B2:B11)</f>
        <v/>
      </c>
      <c r="D11">
        <f>B11*(1+0.01)^10</f>
        <v/>
      </c>
    </row>
    <row r="12">
      <c r="B12">
        <f>IF('Monthly Tracker'!H12="Y",'Monthly Tracker'!I12,0)</f>
        <v/>
      </c>
      <c r="C12">
        <f>SUM(B2:B12)</f>
        <v/>
      </c>
      <c r="D12">
        <f>B12*(1+0.01)^11</f>
        <v/>
      </c>
    </row>
    <row r="13">
      <c r="B13">
        <f>IF('Monthly Tracker'!H13="Y",'Monthly Tracker'!I13,0)</f>
        <v/>
      </c>
      <c r="C13">
        <f>SUM(B2:B13)</f>
        <v/>
      </c>
      <c r="D13">
        <f>B13*(1+0.01)^12</f>
        <v/>
      </c>
    </row>
    <row r="14">
      <c r="B14">
        <f>IF('Monthly Tracker'!H14="Y",'Monthly Tracker'!I14,0)</f>
        <v/>
      </c>
      <c r="C14">
        <f>SUM(B2:B14)</f>
        <v/>
      </c>
      <c r="D14">
        <f>B14*(1+0.01)^13</f>
        <v/>
      </c>
    </row>
    <row r="15">
      <c r="B15">
        <f>IF('Monthly Tracker'!H15="Y",'Monthly Tracker'!I15,0)</f>
        <v/>
      </c>
      <c r="C15">
        <f>SUM(B2:B15)</f>
        <v/>
      </c>
      <c r="D15">
        <f>B15*(1+0.01)^14</f>
        <v/>
      </c>
    </row>
    <row r="16">
      <c r="B16">
        <f>IF('Monthly Tracker'!H16="Y",'Monthly Tracker'!I16,0)</f>
        <v/>
      </c>
      <c r="C16">
        <f>SUM(B2:B16)</f>
        <v/>
      </c>
      <c r="D16">
        <f>B16*(1+0.01)^15</f>
        <v/>
      </c>
    </row>
    <row r="17">
      <c r="B17">
        <f>IF('Monthly Tracker'!H17="Y",'Monthly Tracker'!I17,0)</f>
        <v/>
      </c>
      <c r="C17">
        <f>SUM(B2:B17)</f>
        <v/>
      </c>
      <c r="D17">
        <f>B17*(1+0.01)^16</f>
        <v/>
      </c>
    </row>
    <row r="18">
      <c r="B18">
        <f>IF('Monthly Tracker'!H18="Y",'Monthly Tracker'!I18,0)</f>
        <v/>
      </c>
      <c r="C18">
        <f>SUM(B2:B18)</f>
        <v/>
      </c>
      <c r="D18">
        <f>B18*(1+0.01)^17</f>
        <v/>
      </c>
    </row>
    <row r="19">
      <c r="B19">
        <f>IF('Monthly Tracker'!H19="Y",'Monthly Tracker'!I19,0)</f>
        <v/>
      </c>
      <c r="C19">
        <f>SUM(B2:B19)</f>
        <v/>
      </c>
      <c r="D19">
        <f>B19*(1+0.01)^18</f>
        <v/>
      </c>
    </row>
    <row r="20">
      <c r="B20">
        <f>IF('Monthly Tracker'!H20="Y",'Monthly Tracker'!I20,0)</f>
        <v/>
      </c>
      <c r="C20">
        <f>SUM(B2:B20)</f>
        <v/>
      </c>
      <c r="D20">
        <f>B20*(1+0.01)^19</f>
        <v/>
      </c>
    </row>
    <row r="21">
      <c r="B21">
        <f>IF('Monthly Tracker'!H21="Y",'Monthly Tracker'!I21,0)</f>
        <v/>
      </c>
      <c r="C21">
        <f>SUM(B2:B21)</f>
        <v/>
      </c>
      <c r="D21">
        <f>B21*(1+0.01)^20</f>
        <v/>
      </c>
    </row>
    <row r="22">
      <c r="B22">
        <f>IF('Monthly Tracker'!H22="Y",'Monthly Tracker'!I22,0)</f>
        <v/>
      </c>
      <c r="C22">
        <f>SUM(B2:B22)</f>
        <v/>
      </c>
      <c r="D22">
        <f>B22*(1+0.01)^21</f>
        <v/>
      </c>
    </row>
    <row r="23">
      <c r="B23">
        <f>IF('Monthly Tracker'!H23="Y",'Monthly Tracker'!I23,0)</f>
        <v/>
      </c>
      <c r="C23">
        <f>SUM(B2:B23)</f>
        <v/>
      </c>
      <c r="D23">
        <f>B23*(1+0.01)^22</f>
        <v/>
      </c>
    </row>
    <row r="24">
      <c r="B24">
        <f>IF('Monthly Tracker'!H24="Y",'Monthly Tracker'!I24,0)</f>
        <v/>
      </c>
      <c r="C24">
        <f>SUM(B2:B24)</f>
        <v/>
      </c>
      <c r="D24">
        <f>B24*(1+0.01)^23</f>
        <v/>
      </c>
    </row>
    <row r="25">
      <c r="B25">
        <f>IF('Monthly Tracker'!H25="Y",'Monthly Tracker'!I25,0)</f>
        <v/>
      </c>
      <c r="C25">
        <f>SUM(B2:B25)</f>
        <v/>
      </c>
      <c r="D25">
        <f>B25*(1+0.01)^24</f>
        <v/>
      </c>
    </row>
    <row r="26">
      <c r="B26">
        <f>IF('Monthly Tracker'!H26="Y",'Monthly Tracker'!I26,0)</f>
        <v/>
      </c>
      <c r="C26">
        <f>SUM(B2:B26)</f>
        <v/>
      </c>
      <c r="D26">
        <f>B26*(1+0.01)^25</f>
        <v/>
      </c>
    </row>
    <row r="27">
      <c r="B27">
        <f>IF('Monthly Tracker'!H27="Y",'Monthly Tracker'!I27,0)</f>
        <v/>
      </c>
      <c r="C27">
        <f>SUM(B2:B27)</f>
        <v/>
      </c>
      <c r="D27">
        <f>B27*(1+0.01)^26</f>
        <v/>
      </c>
    </row>
    <row r="28">
      <c r="B28">
        <f>IF('Monthly Tracker'!H28="Y",'Monthly Tracker'!I28,0)</f>
        <v/>
      </c>
      <c r="C28">
        <f>SUM(B2:B28)</f>
        <v/>
      </c>
      <c r="D28">
        <f>B28*(1+0.01)^27</f>
        <v/>
      </c>
    </row>
    <row r="29">
      <c r="B29">
        <f>IF('Monthly Tracker'!H29="Y",'Monthly Tracker'!I29,0)</f>
        <v/>
      </c>
      <c r="C29">
        <f>SUM(B2:B29)</f>
        <v/>
      </c>
      <c r="D29">
        <f>B29*(1+0.01)^28</f>
        <v/>
      </c>
    </row>
    <row r="30">
      <c r="B30">
        <f>IF('Monthly Tracker'!H30="Y",'Monthly Tracker'!I30,0)</f>
        <v/>
      </c>
      <c r="C30">
        <f>SUM(B2:B30)</f>
        <v/>
      </c>
      <c r="D30">
        <f>B30*(1+0.01)^29</f>
        <v/>
      </c>
    </row>
    <row r="31">
      <c r="B31">
        <f>IF('Monthly Tracker'!H31="Y",'Monthly Tracker'!I31,0)</f>
        <v/>
      </c>
      <c r="C31">
        <f>SUM(B2:B31)</f>
        <v/>
      </c>
      <c r="D31">
        <f>B31*(1+0.01)^30</f>
        <v/>
      </c>
    </row>
    <row r="32">
      <c r="B32">
        <f>IF('Monthly Tracker'!H32="Y",'Monthly Tracker'!I32,0)</f>
        <v/>
      </c>
      <c r="C32">
        <f>SUM(B2:B32)</f>
        <v/>
      </c>
      <c r="D32">
        <f>B32*(1+0.01)^31</f>
        <v/>
      </c>
    </row>
    <row r="33">
      <c r="B33">
        <f>IF('Monthly Tracker'!H33="Y",'Monthly Tracker'!I33,0)</f>
        <v/>
      </c>
      <c r="C33">
        <f>SUM(B2:B33)</f>
        <v/>
      </c>
      <c r="D33">
        <f>B33*(1+0.01)^32</f>
        <v/>
      </c>
    </row>
    <row r="34">
      <c r="B34">
        <f>IF('Monthly Tracker'!H34="Y",'Monthly Tracker'!I34,0)</f>
        <v/>
      </c>
      <c r="C34">
        <f>SUM(B2:B34)</f>
        <v/>
      </c>
      <c r="D34">
        <f>B34*(1+0.01)^33</f>
        <v/>
      </c>
    </row>
    <row r="35">
      <c r="B35">
        <f>IF('Monthly Tracker'!H35="Y",'Monthly Tracker'!I35,0)</f>
        <v/>
      </c>
      <c r="C35">
        <f>SUM(B2:B35)</f>
        <v/>
      </c>
      <c r="D35">
        <f>B35*(1+0.01)^34</f>
        <v/>
      </c>
    </row>
    <row r="36">
      <c r="B36">
        <f>IF('Monthly Tracker'!H36="Y",'Monthly Tracker'!I36,0)</f>
        <v/>
      </c>
      <c r="C36">
        <f>SUM(B2:B36)</f>
        <v/>
      </c>
      <c r="D36">
        <f>B36*(1+0.01)^35</f>
        <v/>
      </c>
    </row>
    <row r="37">
      <c r="B37">
        <f>IF('Monthly Tracker'!H37="Y",'Monthly Tracker'!I37,0)</f>
        <v/>
      </c>
      <c r="C37">
        <f>SUM(B2:B37)</f>
        <v/>
      </c>
      <c r="D37">
        <f>B37*(1+0.01)^36</f>
        <v/>
      </c>
    </row>
    <row r="38">
      <c r="B38">
        <f>IF('Monthly Tracker'!H38="Y",'Monthly Tracker'!I38,0)</f>
        <v/>
      </c>
      <c r="C38">
        <f>SUM(B2:B38)</f>
        <v/>
      </c>
      <c r="D38">
        <f>B38*(1+0.01)^37</f>
        <v/>
      </c>
    </row>
    <row r="39">
      <c r="B39">
        <f>IF('Monthly Tracker'!H39="Y",'Monthly Tracker'!I39,0)</f>
        <v/>
      </c>
      <c r="C39">
        <f>SUM(B2:B39)</f>
        <v/>
      </c>
      <c r="D39">
        <f>B39*(1+0.01)^38</f>
        <v/>
      </c>
    </row>
    <row r="40">
      <c r="B40">
        <f>IF('Monthly Tracker'!H40="Y",'Monthly Tracker'!I40,0)</f>
        <v/>
      </c>
      <c r="C40">
        <f>SUM(B2:B40)</f>
        <v/>
      </c>
      <c r="D40">
        <f>B40*(1+0.01)^39</f>
        <v/>
      </c>
    </row>
    <row r="41">
      <c r="B41">
        <f>IF('Monthly Tracker'!H41="Y",'Monthly Tracker'!I41,0)</f>
        <v/>
      </c>
      <c r="C41">
        <f>SUM(B2:B41)</f>
        <v/>
      </c>
      <c r="D41">
        <f>B41*(1+0.01)^40</f>
        <v/>
      </c>
    </row>
    <row r="42">
      <c r="B42">
        <f>IF('Monthly Tracker'!H42="Y",'Monthly Tracker'!I42,0)</f>
        <v/>
      </c>
      <c r="C42">
        <f>SUM(B2:B42)</f>
        <v/>
      </c>
      <c r="D42">
        <f>B42*(1+0.01)^41</f>
        <v/>
      </c>
    </row>
    <row r="43">
      <c r="B43">
        <f>IF('Monthly Tracker'!H43="Y",'Monthly Tracker'!I43,0)</f>
        <v/>
      </c>
      <c r="C43">
        <f>SUM(B2:B43)</f>
        <v/>
      </c>
      <c r="D43">
        <f>B43*(1+0.01)^42</f>
        <v/>
      </c>
    </row>
    <row r="44">
      <c r="B44">
        <f>IF('Monthly Tracker'!H44="Y",'Monthly Tracker'!I44,0)</f>
        <v/>
      </c>
      <c r="C44">
        <f>SUM(B2:B44)</f>
        <v/>
      </c>
      <c r="D44">
        <f>B44*(1+0.01)^43</f>
        <v/>
      </c>
    </row>
    <row r="45">
      <c r="B45">
        <f>IF('Monthly Tracker'!H45="Y",'Monthly Tracker'!I45,0)</f>
        <v/>
      </c>
      <c r="C45">
        <f>SUM(B2:B45)</f>
        <v/>
      </c>
      <c r="D45">
        <f>B45*(1+0.01)^44</f>
        <v/>
      </c>
    </row>
    <row r="46">
      <c r="B46">
        <f>IF('Monthly Tracker'!H46="Y",'Monthly Tracker'!I46,0)</f>
        <v/>
      </c>
      <c r="C46">
        <f>SUM(B2:B46)</f>
        <v/>
      </c>
      <c r="D46">
        <f>B46*(1+0.01)^45</f>
        <v/>
      </c>
    </row>
    <row r="47">
      <c r="B47">
        <f>IF('Monthly Tracker'!H47="Y",'Monthly Tracker'!I47,0)</f>
        <v/>
      </c>
      <c r="C47">
        <f>SUM(B2:B47)</f>
        <v/>
      </c>
      <c r="D47">
        <f>B47*(1+0.01)^46</f>
        <v/>
      </c>
    </row>
    <row r="48">
      <c r="B48">
        <f>IF('Monthly Tracker'!H48="Y",'Monthly Tracker'!I48,0)</f>
        <v/>
      </c>
      <c r="C48">
        <f>SUM(B2:B48)</f>
        <v/>
      </c>
      <c r="D48">
        <f>B48*(1+0.01)^47</f>
        <v/>
      </c>
    </row>
    <row r="49">
      <c r="B49">
        <f>IF('Monthly Tracker'!H49="Y",'Monthly Tracker'!I49,0)</f>
        <v/>
      </c>
      <c r="C49">
        <f>SUM(B2:B49)</f>
        <v/>
      </c>
      <c r="D49">
        <f>B49*(1+0.01)^48</f>
        <v/>
      </c>
    </row>
    <row r="50">
      <c r="B50">
        <f>IF('Monthly Tracker'!H50="Y",'Monthly Tracker'!I50,0)</f>
        <v/>
      </c>
      <c r="C50">
        <f>SUM(B2:B50)</f>
        <v/>
      </c>
      <c r="D50">
        <f>B50*(1+0.01)^49</f>
        <v/>
      </c>
    </row>
    <row r="51">
      <c r="B51">
        <f>IF('Monthly Tracker'!H51="Y",'Monthly Tracker'!I51,0)</f>
        <v/>
      </c>
      <c r="C51">
        <f>SUM(B2:B51)</f>
        <v/>
      </c>
      <c r="D51">
        <f>B51*(1+0.01)^50</f>
        <v/>
      </c>
    </row>
    <row r="52">
      <c r="B52">
        <f>IF('Monthly Tracker'!H52="Y",'Monthly Tracker'!I52,0)</f>
        <v/>
      </c>
      <c r="C52">
        <f>SUM(B2:B52)</f>
        <v/>
      </c>
      <c r="D52">
        <f>B52*(1+0.01)^51</f>
        <v/>
      </c>
    </row>
    <row r="53">
      <c r="B53">
        <f>IF('Monthly Tracker'!H53="Y",'Monthly Tracker'!I53,0)</f>
        <v/>
      </c>
      <c r="C53">
        <f>SUM(B2:B53)</f>
        <v/>
      </c>
      <c r="D53">
        <f>B53*(1+0.01)^52</f>
        <v/>
      </c>
    </row>
    <row r="54">
      <c r="B54">
        <f>IF('Monthly Tracker'!H54="Y",'Monthly Tracker'!I54,0)</f>
        <v/>
      </c>
      <c r="C54">
        <f>SUM(B2:B54)</f>
        <v/>
      </c>
      <c r="D54">
        <f>B54*(1+0.01)^53</f>
        <v/>
      </c>
    </row>
    <row r="55">
      <c r="B55">
        <f>IF('Monthly Tracker'!H55="Y",'Monthly Tracker'!I55,0)</f>
        <v/>
      </c>
      <c r="C55">
        <f>SUM(B2:B55)</f>
        <v/>
      </c>
      <c r="D55">
        <f>B55*(1+0.01)^54</f>
        <v/>
      </c>
    </row>
    <row r="56">
      <c r="B56">
        <f>IF('Monthly Tracker'!H56="Y",'Monthly Tracker'!I56,0)</f>
        <v/>
      </c>
      <c r="C56">
        <f>SUM(B2:B56)</f>
        <v/>
      </c>
      <c r="D56">
        <f>B56*(1+0.01)^55</f>
        <v/>
      </c>
    </row>
    <row r="57">
      <c r="B57">
        <f>IF('Monthly Tracker'!H57="Y",'Monthly Tracker'!I57,0)</f>
        <v/>
      </c>
      <c r="C57">
        <f>SUM(B2:B57)</f>
        <v/>
      </c>
      <c r="D57">
        <f>B57*(1+0.01)^56</f>
        <v/>
      </c>
    </row>
    <row r="58">
      <c r="B58">
        <f>IF('Monthly Tracker'!H58="Y",'Monthly Tracker'!I58,0)</f>
        <v/>
      </c>
      <c r="C58">
        <f>SUM(B2:B58)</f>
        <v/>
      </c>
      <c r="D58">
        <f>B58*(1+0.01)^57</f>
        <v/>
      </c>
    </row>
    <row r="59">
      <c r="B59">
        <f>IF('Monthly Tracker'!H59="Y",'Monthly Tracker'!I59,0)</f>
        <v/>
      </c>
      <c r="C59">
        <f>SUM(B2:B59)</f>
        <v/>
      </c>
      <c r="D59">
        <f>B59*(1+0.01)^58</f>
        <v/>
      </c>
    </row>
    <row r="60">
      <c r="B60">
        <f>IF('Monthly Tracker'!H60="Y",'Monthly Tracker'!I60,0)</f>
        <v/>
      </c>
      <c r="C60">
        <f>SUM(B2:B60)</f>
        <v/>
      </c>
      <c r="D60">
        <f>B60*(1+0.01)^59</f>
        <v/>
      </c>
    </row>
    <row r="61">
      <c r="B61">
        <f>IF('Monthly Tracker'!H61="Y",'Monthly Tracker'!I61,0)</f>
        <v/>
      </c>
      <c r="C61">
        <f>SUM(B2:B61)</f>
        <v/>
      </c>
      <c r="D61">
        <f>B61*(1+0.01)^60</f>
        <v/>
      </c>
    </row>
    <row r="62">
      <c r="B62">
        <f>IF('Monthly Tracker'!H62="Y",'Monthly Tracker'!I62,0)</f>
        <v/>
      </c>
      <c r="C62">
        <f>SUM(B2:B62)</f>
        <v/>
      </c>
      <c r="D62">
        <f>B62*(1+0.01)^61</f>
        <v/>
      </c>
    </row>
    <row r="63">
      <c r="B63">
        <f>IF('Monthly Tracker'!H63="Y",'Monthly Tracker'!I63,0)</f>
        <v/>
      </c>
      <c r="C63">
        <f>SUM(B2:B63)</f>
        <v/>
      </c>
      <c r="D63">
        <f>B63*(1+0.01)^62</f>
        <v/>
      </c>
    </row>
    <row r="64">
      <c r="B64">
        <f>IF('Monthly Tracker'!H64="Y",'Monthly Tracker'!I64,0)</f>
        <v/>
      </c>
      <c r="C64">
        <f>SUM(B2:B64)</f>
        <v/>
      </c>
      <c r="D64">
        <f>B64*(1+0.01)^63</f>
        <v/>
      </c>
    </row>
    <row r="65">
      <c r="B65">
        <f>IF('Monthly Tracker'!H65="Y",'Monthly Tracker'!I65,0)</f>
        <v/>
      </c>
      <c r="C65">
        <f>SUM(B2:B65)</f>
        <v/>
      </c>
      <c r="D65">
        <f>B65*(1+0.01)^64</f>
        <v/>
      </c>
    </row>
    <row r="66">
      <c r="B66">
        <f>IF('Monthly Tracker'!H66="Y",'Monthly Tracker'!I66,0)</f>
        <v/>
      </c>
      <c r="C66">
        <f>SUM(B2:B66)</f>
        <v/>
      </c>
      <c r="D66">
        <f>B66*(1+0.01)^65</f>
        <v/>
      </c>
    </row>
    <row r="67">
      <c r="B67">
        <f>IF('Monthly Tracker'!H67="Y",'Monthly Tracker'!I67,0)</f>
        <v/>
      </c>
      <c r="C67">
        <f>SUM(B2:B67)</f>
        <v/>
      </c>
      <c r="D67">
        <f>B67*(1+0.01)^66</f>
        <v/>
      </c>
    </row>
    <row r="68">
      <c r="B68">
        <f>IF('Monthly Tracker'!H68="Y",'Monthly Tracker'!I68,0)</f>
        <v/>
      </c>
      <c r="C68">
        <f>SUM(B2:B68)</f>
        <v/>
      </c>
      <c r="D68">
        <f>B68*(1+0.01)^67</f>
        <v/>
      </c>
    </row>
    <row r="69">
      <c r="B69">
        <f>IF('Monthly Tracker'!H69="Y",'Monthly Tracker'!I69,0)</f>
        <v/>
      </c>
      <c r="C69">
        <f>SUM(B2:B69)</f>
        <v/>
      </c>
      <c r="D69">
        <f>B69*(1+0.01)^68</f>
        <v/>
      </c>
    </row>
    <row r="70">
      <c r="B70">
        <f>IF('Monthly Tracker'!H70="Y",'Monthly Tracker'!I70,0)</f>
        <v/>
      </c>
      <c r="C70">
        <f>SUM(B2:B70)</f>
        <v/>
      </c>
      <c r="D70">
        <f>B70*(1+0.01)^69</f>
        <v/>
      </c>
    </row>
    <row r="71">
      <c r="B71">
        <f>IF('Monthly Tracker'!H71="Y",'Monthly Tracker'!I71,0)</f>
        <v/>
      </c>
      <c r="C71">
        <f>SUM(B2:B71)</f>
        <v/>
      </c>
      <c r="D71">
        <f>B71*(1+0.01)^70</f>
        <v/>
      </c>
    </row>
    <row r="72">
      <c r="B72">
        <f>IF('Monthly Tracker'!H72="Y",'Monthly Tracker'!I72,0)</f>
        <v/>
      </c>
      <c r="C72">
        <f>SUM(B2:B72)</f>
        <v/>
      </c>
      <c r="D72">
        <f>B72*(1+0.01)^71</f>
        <v/>
      </c>
    </row>
    <row r="73">
      <c r="B73">
        <f>IF('Monthly Tracker'!H73="Y",'Monthly Tracker'!I73,0)</f>
        <v/>
      </c>
      <c r="C73">
        <f>SUM(B2:B73)</f>
        <v/>
      </c>
      <c r="D73">
        <f>B73*(1+0.01)^72</f>
        <v/>
      </c>
    </row>
    <row r="74">
      <c r="B74">
        <f>IF('Monthly Tracker'!H74="Y",'Monthly Tracker'!I74,0)</f>
        <v/>
      </c>
      <c r="C74">
        <f>SUM(B2:B74)</f>
        <v/>
      </c>
      <c r="D74">
        <f>B74*(1+0.01)^73</f>
        <v/>
      </c>
    </row>
    <row r="75">
      <c r="B75">
        <f>IF('Monthly Tracker'!H75="Y",'Monthly Tracker'!I75,0)</f>
        <v/>
      </c>
      <c r="C75">
        <f>SUM(B2:B75)</f>
        <v/>
      </c>
      <c r="D75">
        <f>B75*(1+0.01)^74</f>
        <v/>
      </c>
    </row>
    <row r="76">
      <c r="B76">
        <f>IF('Monthly Tracker'!H76="Y",'Monthly Tracker'!I76,0)</f>
        <v/>
      </c>
      <c r="C76">
        <f>SUM(B2:B76)</f>
        <v/>
      </c>
      <c r="D76">
        <f>B76*(1+0.01)^75</f>
        <v/>
      </c>
    </row>
    <row r="77">
      <c r="B77">
        <f>IF('Monthly Tracker'!H77="Y",'Monthly Tracker'!I77,0)</f>
        <v/>
      </c>
      <c r="C77">
        <f>SUM(B2:B77)</f>
        <v/>
      </c>
      <c r="D77">
        <f>B77*(1+0.01)^76</f>
        <v/>
      </c>
    </row>
    <row r="78">
      <c r="B78">
        <f>IF('Monthly Tracker'!H78="Y",'Monthly Tracker'!I78,0)</f>
        <v/>
      </c>
      <c r="C78">
        <f>SUM(B2:B78)</f>
        <v/>
      </c>
      <c r="D78">
        <f>B78*(1+0.01)^77</f>
        <v/>
      </c>
    </row>
    <row r="79">
      <c r="B79">
        <f>IF('Monthly Tracker'!H79="Y",'Monthly Tracker'!I79,0)</f>
        <v/>
      </c>
      <c r="C79">
        <f>SUM(B2:B79)</f>
        <v/>
      </c>
      <c r="D79">
        <f>B79*(1+0.01)^78</f>
        <v/>
      </c>
    </row>
    <row r="80">
      <c r="B80">
        <f>IF('Monthly Tracker'!H80="Y",'Monthly Tracker'!I80,0)</f>
        <v/>
      </c>
      <c r="C80">
        <f>SUM(B2:B80)</f>
        <v/>
      </c>
      <c r="D80">
        <f>B80*(1+0.01)^79</f>
        <v/>
      </c>
    </row>
    <row r="81">
      <c r="B81">
        <f>IF('Monthly Tracker'!H81="Y",'Monthly Tracker'!I81,0)</f>
        <v/>
      </c>
      <c r="C81">
        <f>SUM(B2:B81)</f>
        <v/>
      </c>
      <c r="D81">
        <f>B81*(1+0.01)^80</f>
        <v/>
      </c>
    </row>
    <row r="82">
      <c r="B82">
        <f>IF('Monthly Tracker'!H82="Y",'Monthly Tracker'!I82,0)</f>
        <v/>
      </c>
      <c r="C82">
        <f>SUM(B2:B82)</f>
        <v/>
      </c>
      <c r="D82">
        <f>B82*(1+0.01)^81</f>
        <v/>
      </c>
    </row>
    <row r="83">
      <c r="B83">
        <f>IF('Monthly Tracker'!H83="Y",'Monthly Tracker'!I83,0)</f>
        <v/>
      </c>
      <c r="C83">
        <f>SUM(B2:B83)</f>
        <v/>
      </c>
      <c r="D83">
        <f>B83*(1+0.01)^82</f>
        <v/>
      </c>
    </row>
    <row r="84">
      <c r="B84">
        <f>IF('Monthly Tracker'!H84="Y",'Monthly Tracker'!I84,0)</f>
        <v/>
      </c>
      <c r="C84">
        <f>SUM(B2:B84)</f>
        <v/>
      </c>
      <c r="D84">
        <f>B84*(1+0.01)^83</f>
        <v/>
      </c>
    </row>
    <row r="85">
      <c r="B85">
        <f>IF('Monthly Tracker'!H85="Y",'Monthly Tracker'!I85,0)</f>
        <v/>
      </c>
      <c r="C85">
        <f>SUM(B2:B85)</f>
        <v/>
      </c>
      <c r="D85">
        <f>B85*(1+0.01)^84</f>
        <v/>
      </c>
    </row>
    <row r="86">
      <c r="B86">
        <f>IF('Monthly Tracker'!H86="Y",'Monthly Tracker'!I86,0)</f>
        <v/>
      </c>
      <c r="C86">
        <f>SUM(B2:B86)</f>
        <v/>
      </c>
      <c r="D86">
        <f>B86*(1+0.01)^85</f>
        <v/>
      </c>
    </row>
    <row r="87">
      <c r="B87">
        <f>IF('Monthly Tracker'!H87="Y",'Monthly Tracker'!I87,0)</f>
        <v/>
      </c>
      <c r="C87">
        <f>SUM(B2:B87)</f>
        <v/>
      </c>
      <c r="D87">
        <f>B87*(1+0.01)^86</f>
        <v/>
      </c>
    </row>
    <row r="88">
      <c r="B88">
        <f>IF('Monthly Tracker'!H88="Y",'Monthly Tracker'!I88,0)</f>
        <v/>
      </c>
      <c r="C88">
        <f>SUM(B2:B88)</f>
        <v/>
      </c>
      <c r="D88">
        <f>B88*(1+0.01)^87</f>
        <v/>
      </c>
    </row>
    <row r="89">
      <c r="B89">
        <f>IF('Monthly Tracker'!H89="Y",'Monthly Tracker'!I89,0)</f>
        <v/>
      </c>
      <c r="C89">
        <f>SUM(B2:B89)</f>
        <v/>
      </c>
      <c r="D89">
        <f>B89*(1+0.01)^88</f>
        <v/>
      </c>
    </row>
    <row r="90">
      <c r="B90">
        <f>IF('Monthly Tracker'!H90="Y",'Monthly Tracker'!I90,0)</f>
        <v/>
      </c>
      <c r="C90">
        <f>SUM(B2:B90)</f>
        <v/>
      </c>
      <c r="D90">
        <f>B90*(1+0.01)^89</f>
        <v/>
      </c>
    </row>
    <row r="91">
      <c r="B91">
        <f>IF('Monthly Tracker'!H91="Y",'Monthly Tracker'!I91,0)</f>
        <v/>
      </c>
      <c r="C91">
        <f>SUM(B2:B91)</f>
        <v/>
      </c>
      <c r="D91">
        <f>B91*(1+0.01)^90</f>
        <v/>
      </c>
    </row>
    <row r="92">
      <c r="B92">
        <f>IF('Monthly Tracker'!H92="Y",'Monthly Tracker'!I92,0)</f>
        <v/>
      </c>
      <c r="C92">
        <f>SUM(B2:B92)</f>
        <v/>
      </c>
      <c r="D92">
        <f>B92*(1+0.01)^91</f>
        <v/>
      </c>
    </row>
    <row r="93">
      <c r="B93">
        <f>IF('Monthly Tracker'!H93="Y",'Monthly Tracker'!I93,0)</f>
        <v/>
      </c>
      <c r="C93">
        <f>SUM(B2:B93)</f>
        <v/>
      </c>
      <c r="D93">
        <f>B93*(1+0.01)^92</f>
        <v/>
      </c>
    </row>
    <row r="94">
      <c r="B94">
        <f>IF('Monthly Tracker'!H94="Y",'Monthly Tracker'!I94,0)</f>
        <v/>
      </c>
      <c r="C94">
        <f>SUM(B2:B94)</f>
        <v/>
      </c>
      <c r="D94">
        <f>B94*(1+0.01)^93</f>
        <v/>
      </c>
    </row>
    <row r="95">
      <c r="B95">
        <f>IF('Monthly Tracker'!H95="Y",'Monthly Tracker'!I95,0)</f>
        <v/>
      </c>
      <c r="C95">
        <f>SUM(B2:B95)</f>
        <v/>
      </c>
      <c r="D95">
        <f>B95*(1+0.01)^94</f>
        <v/>
      </c>
    </row>
    <row r="96">
      <c r="B96">
        <f>IF('Monthly Tracker'!H96="Y",'Monthly Tracker'!I96,0)</f>
        <v/>
      </c>
      <c r="C96">
        <f>SUM(B2:B96)</f>
        <v/>
      </c>
      <c r="D96">
        <f>B96*(1+0.01)^95</f>
        <v/>
      </c>
    </row>
    <row r="97">
      <c r="B97">
        <f>IF('Monthly Tracker'!H97="Y",'Monthly Tracker'!I97,0)</f>
        <v/>
      </c>
      <c r="C97">
        <f>SUM(B2:B97)</f>
        <v/>
      </c>
      <c r="D97">
        <f>B97*(1+0.01)^96</f>
        <v/>
      </c>
    </row>
    <row r="98">
      <c r="B98">
        <f>IF('Monthly Tracker'!H98="Y",'Monthly Tracker'!I98,0)</f>
        <v/>
      </c>
      <c r="C98">
        <f>SUM(B2:B98)</f>
        <v/>
      </c>
      <c r="D98">
        <f>B98*(1+0.01)^97</f>
        <v/>
      </c>
    </row>
    <row r="99">
      <c r="B99">
        <f>IF('Monthly Tracker'!H99="Y",'Monthly Tracker'!I99,0)</f>
        <v/>
      </c>
      <c r="C99">
        <f>SUM(B2:B99)</f>
        <v/>
      </c>
      <c r="D99">
        <f>B99*(1+0.01)^98</f>
        <v/>
      </c>
    </row>
    <row r="100">
      <c r="B100">
        <f>IF('Monthly Tracker'!H100="Y",'Monthly Tracker'!I100,0)</f>
        <v/>
      </c>
      <c r="C100">
        <f>SUM(B2:B100)</f>
        <v/>
      </c>
      <c r="D100">
        <f>B100*(1+0.01)^99</f>
        <v/>
      </c>
    </row>
    <row r="101">
      <c r="B101">
        <f>IF('Monthly Tracker'!H101="Y",'Monthly Tracker'!I101,0)</f>
        <v/>
      </c>
      <c r="C101">
        <f>SUM(B2:B101)</f>
        <v/>
      </c>
      <c r="D101">
        <f>B101*(1+0.01)^100</f>
        <v/>
      </c>
    </row>
    <row r="102">
      <c r="B102">
        <f>IF('Monthly Tracker'!H102="Y",'Monthly Tracker'!I102,0)</f>
        <v/>
      </c>
      <c r="C102">
        <f>SUM(B2:B102)</f>
        <v/>
      </c>
      <c r="D102">
        <f>B102*(1+0.01)^101</f>
        <v/>
      </c>
    </row>
    <row r="103">
      <c r="B103">
        <f>IF('Monthly Tracker'!H103="Y",'Monthly Tracker'!I103,0)</f>
        <v/>
      </c>
      <c r="C103">
        <f>SUM(B2:B103)</f>
        <v/>
      </c>
      <c r="D103">
        <f>B103*(1+0.01)^102</f>
        <v/>
      </c>
    </row>
    <row r="104">
      <c r="B104">
        <f>IF('Monthly Tracker'!H104="Y",'Monthly Tracker'!I104,0)</f>
        <v/>
      </c>
      <c r="C104">
        <f>SUM(B2:B104)</f>
        <v/>
      </c>
      <c r="D104">
        <f>B104*(1+0.01)^103</f>
        <v/>
      </c>
    </row>
    <row r="105">
      <c r="B105">
        <f>IF('Monthly Tracker'!H105="Y",'Monthly Tracker'!I105,0)</f>
        <v/>
      </c>
      <c r="C105">
        <f>SUM(B2:B105)</f>
        <v/>
      </c>
      <c r="D105">
        <f>B105*(1+0.01)^104</f>
        <v/>
      </c>
    </row>
    <row r="106">
      <c r="B106">
        <f>IF('Monthly Tracker'!H106="Y",'Monthly Tracker'!I106,0)</f>
        <v/>
      </c>
      <c r="C106">
        <f>SUM(B2:B106)</f>
        <v/>
      </c>
      <c r="D106">
        <f>B106*(1+0.01)^105</f>
        <v/>
      </c>
    </row>
    <row r="107">
      <c r="B107">
        <f>IF('Monthly Tracker'!H107="Y",'Monthly Tracker'!I107,0)</f>
        <v/>
      </c>
      <c r="C107">
        <f>SUM(B2:B107)</f>
        <v/>
      </c>
      <c r="D107">
        <f>B107*(1+0.01)^106</f>
        <v/>
      </c>
    </row>
    <row r="108">
      <c r="B108">
        <f>IF('Monthly Tracker'!H108="Y",'Monthly Tracker'!I108,0)</f>
        <v/>
      </c>
      <c r="C108">
        <f>SUM(B2:B108)</f>
        <v/>
      </c>
      <c r="D108">
        <f>B108*(1+0.01)^107</f>
        <v/>
      </c>
    </row>
    <row r="109">
      <c r="B109">
        <f>IF('Monthly Tracker'!H109="Y",'Monthly Tracker'!I109,0)</f>
        <v/>
      </c>
      <c r="C109">
        <f>SUM(B2:B109)</f>
        <v/>
      </c>
      <c r="D109">
        <f>B109*(1+0.01)^108</f>
        <v/>
      </c>
    </row>
    <row r="110">
      <c r="B110">
        <f>IF('Monthly Tracker'!H110="Y",'Monthly Tracker'!I110,0)</f>
        <v/>
      </c>
      <c r="C110">
        <f>SUM(B2:B110)</f>
        <v/>
      </c>
      <c r="D110">
        <f>B110*(1+0.01)^109</f>
        <v/>
      </c>
    </row>
    <row r="111">
      <c r="B111">
        <f>IF('Monthly Tracker'!H111="Y",'Monthly Tracker'!I111,0)</f>
        <v/>
      </c>
      <c r="C111">
        <f>SUM(B2:B111)</f>
        <v/>
      </c>
      <c r="D111">
        <f>B111*(1+0.01)^110</f>
        <v/>
      </c>
    </row>
    <row r="112">
      <c r="B112">
        <f>IF('Monthly Tracker'!H112="Y",'Monthly Tracker'!I112,0)</f>
        <v/>
      </c>
      <c r="C112">
        <f>SUM(B2:B112)</f>
        <v/>
      </c>
      <c r="D112">
        <f>B112*(1+0.01)^111</f>
        <v/>
      </c>
    </row>
    <row r="113">
      <c r="B113">
        <f>IF('Monthly Tracker'!H113="Y",'Monthly Tracker'!I113,0)</f>
        <v/>
      </c>
      <c r="C113">
        <f>SUM(B2:B113)</f>
        <v/>
      </c>
      <c r="D113">
        <f>B113*(1+0.01)^112</f>
        <v/>
      </c>
    </row>
    <row r="114">
      <c r="B114">
        <f>IF('Monthly Tracker'!H114="Y",'Monthly Tracker'!I114,0)</f>
        <v/>
      </c>
      <c r="C114">
        <f>SUM(B2:B114)</f>
        <v/>
      </c>
      <c r="D114">
        <f>B114*(1+0.01)^113</f>
        <v/>
      </c>
    </row>
    <row r="115">
      <c r="B115">
        <f>IF('Monthly Tracker'!H115="Y",'Monthly Tracker'!I115,0)</f>
        <v/>
      </c>
      <c r="C115">
        <f>SUM(B2:B115)</f>
        <v/>
      </c>
      <c r="D115">
        <f>B115*(1+0.01)^114</f>
        <v/>
      </c>
    </row>
    <row r="116">
      <c r="B116">
        <f>IF('Monthly Tracker'!H116="Y",'Monthly Tracker'!I116,0)</f>
        <v/>
      </c>
      <c r="C116">
        <f>SUM(B2:B116)</f>
        <v/>
      </c>
      <c r="D116">
        <f>B116*(1+0.01)^115</f>
        <v/>
      </c>
    </row>
    <row r="117">
      <c r="B117">
        <f>IF('Monthly Tracker'!H117="Y",'Monthly Tracker'!I117,0)</f>
        <v/>
      </c>
      <c r="C117">
        <f>SUM(B2:B117)</f>
        <v/>
      </c>
      <c r="D117">
        <f>B117*(1+0.01)^116</f>
        <v/>
      </c>
    </row>
    <row r="118">
      <c r="B118">
        <f>IF('Monthly Tracker'!H118="Y",'Monthly Tracker'!I118,0)</f>
        <v/>
      </c>
      <c r="C118">
        <f>SUM(B2:B118)</f>
        <v/>
      </c>
      <c r="D118">
        <f>B118*(1+0.01)^117</f>
        <v/>
      </c>
    </row>
    <row r="119">
      <c r="B119">
        <f>IF('Monthly Tracker'!H119="Y",'Monthly Tracker'!I119,0)</f>
        <v/>
      </c>
      <c r="C119">
        <f>SUM(B2:B119)</f>
        <v/>
      </c>
      <c r="D119">
        <f>B119*(1+0.01)^118</f>
        <v/>
      </c>
    </row>
    <row r="120">
      <c r="B120">
        <f>IF('Monthly Tracker'!H120="Y",'Monthly Tracker'!I120,0)</f>
        <v/>
      </c>
      <c r="C120">
        <f>SUM(B2:B120)</f>
        <v/>
      </c>
      <c r="D120">
        <f>B120*(1+0.01)^119</f>
        <v/>
      </c>
    </row>
    <row r="121">
      <c r="B121">
        <f>IF('Monthly Tracker'!H121="Y",'Monthly Tracker'!I121,0)</f>
        <v/>
      </c>
      <c r="C121">
        <f>SUM(B2:B121)</f>
        <v/>
      </c>
      <c r="D121">
        <f>B121*(1+0.01)^120</f>
        <v/>
      </c>
    </row>
    <row r="122">
      <c r="B122">
        <f>IF('Monthly Tracker'!H122="Y",'Monthly Tracker'!I122,0)</f>
        <v/>
      </c>
      <c r="C122">
        <f>SUM(B2:B122)</f>
        <v/>
      </c>
      <c r="D122">
        <f>B122*(1+0.01)^121</f>
        <v/>
      </c>
    </row>
    <row r="123">
      <c r="B123">
        <f>IF('Monthly Tracker'!H123="Y",'Monthly Tracker'!I123,0)</f>
        <v/>
      </c>
      <c r="C123">
        <f>SUM(B2:B123)</f>
        <v/>
      </c>
      <c r="D123">
        <f>B123*(1+0.01)^122</f>
        <v/>
      </c>
    </row>
    <row r="124">
      <c r="B124">
        <f>IF('Monthly Tracker'!H124="Y",'Monthly Tracker'!I124,0)</f>
        <v/>
      </c>
      <c r="C124">
        <f>SUM(B2:B124)</f>
        <v/>
      </c>
      <c r="D124">
        <f>B124*(1+0.01)^123</f>
        <v/>
      </c>
    </row>
    <row r="125">
      <c r="B125">
        <f>IF('Monthly Tracker'!H125="Y",'Monthly Tracker'!I125,0)</f>
        <v/>
      </c>
      <c r="C125">
        <f>SUM(B2:B125)</f>
        <v/>
      </c>
      <c r="D125">
        <f>B125*(1+0.01)^124</f>
        <v/>
      </c>
    </row>
    <row r="126">
      <c r="B126">
        <f>IF('Monthly Tracker'!H126="Y",'Monthly Tracker'!I126,0)</f>
        <v/>
      </c>
      <c r="C126">
        <f>SUM(B2:B126)</f>
        <v/>
      </c>
      <c r="D126">
        <f>B126*(1+0.01)^125</f>
        <v/>
      </c>
    </row>
    <row r="127">
      <c r="B127">
        <f>IF('Monthly Tracker'!H127="Y",'Monthly Tracker'!I127,0)</f>
        <v/>
      </c>
      <c r="C127">
        <f>SUM(B2:B127)</f>
        <v/>
      </c>
      <c r="D127">
        <f>B127*(1+0.01)^126</f>
        <v/>
      </c>
    </row>
    <row r="128">
      <c r="B128">
        <f>IF('Monthly Tracker'!H128="Y",'Monthly Tracker'!I128,0)</f>
        <v/>
      </c>
      <c r="C128">
        <f>SUM(B2:B128)</f>
        <v/>
      </c>
      <c r="D128">
        <f>B128*(1+0.01)^127</f>
        <v/>
      </c>
    </row>
    <row r="129">
      <c r="B129">
        <f>IF('Monthly Tracker'!H129="Y",'Monthly Tracker'!I129,0)</f>
        <v/>
      </c>
      <c r="C129">
        <f>SUM(B2:B129)</f>
        <v/>
      </c>
      <c r="D129">
        <f>B129*(1+0.01)^128</f>
        <v/>
      </c>
    </row>
    <row r="130">
      <c r="B130">
        <f>IF('Monthly Tracker'!H130="Y",'Monthly Tracker'!I130,0)</f>
        <v/>
      </c>
      <c r="C130">
        <f>SUM(B2:B130)</f>
        <v/>
      </c>
      <c r="D130">
        <f>B130*(1+0.01)^129</f>
        <v/>
      </c>
    </row>
    <row r="131">
      <c r="B131">
        <f>IF('Monthly Tracker'!H131="Y",'Monthly Tracker'!I131,0)</f>
        <v/>
      </c>
      <c r="C131">
        <f>SUM(B2:B131)</f>
        <v/>
      </c>
      <c r="D131">
        <f>B131*(1+0.01)^130</f>
        <v/>
      </c>
    </row>
    <row r="132">
      <c r="B132">
        <f>IF('Monthly Tracker'!H132="Y",'Monthly Tracker'!I132,0)</f>
        <v/>
      </c>
      <c r="C132">
        <f>SUM(B2:B132)</f>
        <v/>
      </c>
      <c r="D132">
        <f>B132*(1+0.01)^131</f>
        <v/>
      </c>
    </row>
    <row r="133">
      <c r="B133">
        <f>IF('Monthly Tracker'!H133="Y",'Monthly Tracker'!I133,0)</f>
        <v/>
      </c>
      <c r="C133">
        <f>SUM(B2:B133)</f>
        <v/>
      </c>
      <c r="D133">
        <f>B133*(1+0.01)^132</f>
        <v/>
      </c>
    </row>
    <row r="134">
      <c r="B134">
        <f>IF('Monthly Tracker'!H134="Y",'Monthly Tracker'!I134,0)</f>
        <v/>
      </c>
      <c r="C134">
        <f>SUM(B2:B134)</f>
        <v/>
      </c>
      <c r="D134">
        <f>B134*(1+0.01)^133</f>
        <v/>
      </c>
    </row>
    <row r="135">
      <c r="B135">
        <f>IF('Monthly Tracker'!H135="Y",'Monthly Tracker'!I135,0)</f>
        <v/>
      </c>
      <c r="C135">
        <f>SUM(B2:B135)</f>
        <v/>
      </c>
      <c r="D135">
        <f>B135*(1+0.01)^134</f>
        <v/>
      </c>
    </row>
    <row r="136">
      <c r="B136">
        <f>IF('Monthly Tracker'!H136="Y",'Monthly Tracker'!I136,0)</f>
        <v/>
      </c>
      <c r="C136">
        <f>SUM(B2:B136)</f>
        <v/>
      </c>
      <c r="D136">
        <f>B136*(1+0.01)^135</f>
        <v/>
      </c>
    </row>
    <row r="137">
      <c r="B137">
        <f>IF('Monthly Tracker'!H137="Y",'Monthly Tracker'!I137,0)</f>
        <v/>
      </c>
      <c r="C137">
        <f>SUM(B2:B137)</f>
        <v/>
      </c>
      <c r="D137">
        <f>B137*(1+0.01)^136</f>
        <v/>
      </c>
    </row>
    <row r="138">
      <c r="B138">
        <f>IF('Monthly Tracker'!H138="Y",'Monthly Tracker'!I138,0)</f>
        <v/>
      </c>
      <c r="C138">
        <f>SUM(B2:B138)</f>
        <v/>
      </c>
      <c r="D138">
        <f>B138*(1+0.01)^137</f>
        <v/>
      </c>
    </row>
    <row r="139">
      <c r="B139">
        <f>IF('Monthly Tracker'!H139="Y",'Monthly Tracker'!I139,0)</f>
        <v/>
      </c>
      <c r="C139">
        <f>SUM(B2:B139)</f>
        <v/>
      </c>
      <c r="D139">
        <f>B139*(1+0.01)^138</f>
        <v/>
      </c>
    </row>
    <row r="140">
      <c r="B140">
        <f>IF('Monthly Tracker'!H140="Y",'Monthly Tracker'!I140,0)</f>
        <v/>
      </c>
      <c r="C140">
        <f>SUM(B2:B140)</f>
        <v/>
      </c>
      <c r="D140">
        <f>B140*(1+0.01)^139</f>
        <v/>
      </c>
    </row>
    <row r="141">
      <c r="B141">
        <f>IF('Monthly Tracker'!H141="Y",'Monthly Tracker'!I141,0)</f>
        <v/>
      </c>
      <c r="C141">
        <f>SUM(B2:B141)</f>
        <v/>
      </c>
      <c r="D141">
        <f>B141*(1+0.01)^140</f>
        <v/>
      </c>
    </row>
    <row r="142">
      <c r="B142">
        <f>IF('Monthly Tracker'!H142="Y",'Monthly Tracker'!I142,0)</f>
        <v/>
      </c>
      <c r="C142">
        <f>SUM(B2:B142)</f>
        <v/>
      </c>
      <c r="D142">
        <f>B142*(1+0.01)^141</f>
        <v/>
      </c>
    </row>
    <row r="143">
      <c r="B143">
        <f>IF('Monthly Tracker'!H143="Y",'Monthly Tracker'!I143,0)</f>
        <v/>
      </c>
      <c r="C143">
        <f>SUM(B2:B143)</f>
        <v/>
      </c>
      <c r="D143">
        <f>B143*(1+0.01)^142</f>
        <v/>
      </c>
    </row>
    <row r="144">
      <c r="B144">
        <f>IF('Monthly Tracker'!H144="Y",'Monthly Tracker'!I144,0)</f>
        <v/>
      </c>
      <c r="C144">
        <f>SUM(B2:B144)</f>
        <v/>
      </c>
      <c r="D144">
        <f>B144*(1+0.01)^143</f>
        <v/>
      </c>
    </row>
    <row r="145">
      <c r="B145">
        <f>IF('Monthly Tracker'!H145="Y",'Monthly Tracker'!I145,0)</f>
        <v/>
      </c>
      <c r="C145">
        <f>SUM(B2:B145)</f>
        <v/>
      </c>
      <c r="D145">
        <f>B145*(1+0.01)^144</f>
        <v/>
      </c>
    </row>
    <row r="146">
      <c r="B146">
        <f>IF('Monthly Tracker'!H146="Y",'Monthly Tracker'!I146,0)</f>
        <v/>
      </c>
      <c r="C146">
        <f>SUM(B2:B146)</f>
        <v/>
      </c>
      <c r="D146">
        <f>B146*(1+0.01)^145</f>
        <v/>
      </c>
    </row>
    <row r="147">
      <c r="B147">
        <f>IF('Monthly Tracker'!H147="Y",'Monthly Tracker'!I147,0)</f>
        <v/>
      </c>
      <c r="C147">
        <f>SUM(B2:B147)</f>
        <v/>
      </c>
      <c r="D147">
        <f>B147*(1+0.01)^146</f>
        <v/>
      </c>
    </row>
    <row r="148">
      <c r="B148">
        <f>IF('Monthly Tracker'!H148="Y",'Monthly Tracker'!I148,0)</f>
        <v/>
      </c>
      <c r="C148">
        <f>SUM(B2:B148)</f>
        <v/>
      </c>
      <c r="D148">
        <f>B148*(1+0.01)^147</f>
        <v/>
      </c>
    </row>
    <row r="149">
      <c r="B149">
        <f>IF('Monthly Tracker'!H149="Y",'Monthly Tracker'!I149,0)</f>
        <v/>
      </c>
      <c r="C149">
        <f>SUM(B2:B149)</f>
        <v/>
      </c>
      <c r="D149">
        <f>B149*(1+0.01)^148</f>
        <v/>
      </c>
    </row>
    <row r="150">
      <c r="B150">
        <f>IF('Monthly Tracker'!H150="Y",'Monthly Tracker'!I150,0)</f>
        <v/>
      </c>
      <c r="C150">
        <f>SUM(B2:B150)</f>
        <v/>
      </c>
      <c r="D150">
        <f>B150*(1+0.01)^149</f>
        <v/>
      </c>
    </row>
    <row r="151">
      <c r="B151">
        <f>IF('Monthly Tracker'!H151="Y",'Monthly Tracker'!I151,0)</f>
        <v/>
      </c>
      <c r="C151">
        <f>SUM(B2:B151)</f>
        <v/>
      </c>
      <c r="D151">
        <f>B151*(1+0.01)^150</f>
        <v/>
      </c>
    </row>
    <row r="152">
      <c r="B152">
        <f>IF('Monthly Tracker'!H152="Y",'Monthly Tracker'!I152,0)</f>
        <v/>
      </c>
      <c r="C152">
        <f>SUM(B2:B152)</f>
        <v/>
      </c>
      <c r="D152">
        <f>B152*(1+0.01)^151</f>
        <v/>
      </c>
    </row>
    <row r="153">
      <c r="B153">
        <f>IF('Monthly Tracker'!H153="Y",'Monthly Tracker'!I153,0)</f>
        <v/>
      </c>
      <c r="C153">
        <f>SUM(B2:B153)</f>
        <v/>
      </c>
      <c r="D153">
        <f>B153*(1+0.01)^152</f>
        <v/>
      </c>
    </row>
    <row r="154">
      <c r="B154">
        <f>IF('Monthly Tracker'!H154="Y",'Monthly Tracker'!I154,0)</f>
        <v/>
      </c>
      <c r="C154">
        <f>SUM(B2:B154)</f>
        <v/>
      </c>
      <c r="D154">
        <f>B154*(1+0.01)^153</f>
        <v/>
      </c>
    </row>
    <row r="155">
      <c r="B155">
        <f>IF('Monthly Tracker'!H155="Y",'Monthly Tracker'!I155,0)</f>
        <v/>
      </c>
      <c r="C155">
        <f>SUM(B2:B155)</f>
        <v/>
      </c>
      <c r="D155">
        <f>B155*(1+0.01)^154</f>
        <v/>
      </c>
    </row>
    <row r="156">
      <c r="B156">
        <f>IF('Monthly Tracker'!H156="Y",'Monthly Tracker'!I156,0)</f>
        <v/>
      </c>
      <c r="C156">
        <f>SUM(B2:B156)</f>
        <v/>
      </c>
      <c r="D156">
        <f>B156*(1+0.01)^155</f>
        <v/>
      </c>
    </row>
    <row r="157">
      <c r="B157">
        <f>IF('Monthly Tracker'!H157="Y",'Monthly Tracker'!I157,0)</f>
        <v/>
      </c>
      <c r="C157">
        <f>SUM(B2:B157)</f>
        <v/>
      </c>
      <c r="D157">
        <f>B157*(1+0.01)^156</f>
        <v/>
      </c>
    </row>
    <row r="158">
      <c r="B158">
        <f>IF('Monthly Tracker'!H158="Y",'Monthly Tracker'!I158,0)</f>
        <v/>
      </c>
      <c r="C158">
        <f>SUM(B2:B158)</f>
        <v/>
      </c>
      <c r="D158">
        <f>B158*(1+0.01)^157</f>
        <v/>
      </c>
    </row>
    <row r="159">
      <c r="B159">
        <f>IF('Monthly Tracker'!H159="Y",'Monthly Tracker'!I159,0)</f>
        <v/>
      </c>
      <c r="C159">
        <f>SUM(B2:B159)</f>
        <v/>
      </c>
      <c r="D159">
        <f>B159*(1+0.01)^158</f>
        <v/>
      </c>
    </row>
    <row r="160">
      <c r="B160">
        <f>IF('Monthly Tracker'!H160="Y",'Monthly Tracker'!I160,0)</f>
        <v/>
      </c>
      <c r="C160">
        <f>SUM(B2:B160)</f>
        <v/>
      </c>
      <c r="D160">
        <f>B160*(1+0.01)^159</f>
        <v/>
      </c>
    </row>
    <row r="161">
      <c r="B161">
        <f>IF('Monthly Tracker'!H161="Y",'Monthly Tracker'!I161,0)</f>
        <v/>
      </c>
      <c r="C161">
        <f>SUM(B2:B161)</f>
        <v/>
      </c>
      <c r="D161">
        <f>B161*(1+0.01)^160</f>
        <v/>
      </c>
    </row>
    <row r="162">
      <c r="B162">
        <f>IF('Monthly Tracker'!H162="Y",'Monthly Tracker'!I162,0)</f>
        <v/>
      </c>
      <c r="C162">
        <f>SUM(B2:B162)</f>
        <v/>
      </c>
      <c r="D162">
        <f>B162*(1+0.01)^161</f>
        <v/>
      </c>
    </row>
    <row r="163">
      <c r="B163">
        <f>IF('Monthly Tracker'!H163="Y",'Monthly Tracker'!I163,0)</f>
        <v/>
      </c>
      <c r="C163">
        <f>SUM(B2:B163)</f>
        <v/>
      </c>
      <c r="D163">
        <f>B163*(1+0.01)^162</f>
        <v/>
      </c>
    </row>
    <row r="164">
      <c r="B164">
        <f>IF('Monthly Tracker'!H164="Y",'Monthly Tracker'!I164,0)</f>
        <v/>
      </c>
      <c r="C164">
        <f>SUM(B2:B164)</f>
        <v/>
      </c>
      <c r="D164">
        <f>B164*(1+0.01)^163</f>
        <v/>
      </c>
    </row>
    <row r="165">
      <c r="B165">
        <f>IF('Monthly Tracker'!H165="Y",'Monthly Tracker'!I165,0)</f>
        <v/>
      </c>
      <c r="C165">
        <f>SUM(B2:B165)</f>
        <v/>
      </c>
      <c r="D165">
        <f>B165*(1+0.01)^164</f>
        <v/>
      </c>
    </row>
    <row r="166">
      <c r="B166">
        <f>IF('Monthly Tracker'!H166="Y",'Monthly Tracker'!I166,0)</f>
        <v/>
      </c>
      <c r="C166">
        <f>SUM(B2:B166)</f>
        <v/>
      </c>
      <c r="D166">
        <f>B166*(1+0.01)^165</f>
        <v/>
      </c>
    </row>
    <row r="167">
      <c r="B167">
        <f>IF('Monthly Tracker'!H167="Y",'Monthly Tracker'!I167,0)</f>
        <v/>
      </c>
      <c r="C167">
        <f>SUM(B2:B167)</f>
        <v/>
      </c>
      <c r="D167">
        <f>B167*(1+0.01)^166</f>
        <v/>
      </c>
    </row>
    <row r="168">
      <c r="B168">
        <f>IF('Monthly Tracker'!H168="Y",'Monthly Tracker'!I168,0)</f>
        <v/>
      </c>
      <c r="C168">
        <f>SUM(B2:B168)</f>
        <v/>
      </c>
      <c r="D168">
        <f>B168*(1+0.01)^167</f>
        <v/>
      </c>
    </row>
    <row r="169">
      <c r="B169">
        <f>IF('Monthly Tracker'!H169="Y",'Monthly Tracker'!I169,0)</f>
        <v/>
      </c>
      <c r="C169">
        <f>SUM(B2:B169)</f>
        <v/>
      </c>
      <c r="D169">
        <f>B169*(1+0.01)^168</f>
        <v/>
      </c>
    </row>
    <row r="170">
      <c r="B170">
        <f>IF('Monthly Tracker'!H170="Y",'Monthly Tracker'!I170,0)</f>
        <v/>
      </c>
      <c r="C170">
        <f>SUM(B2:B170)</f>
        <v/>
      </c>
      <c r="D170">
        <f>B170*(1+0.01)^169</f>
        <v/>
      </c>
    </row>
    <row r="171">
      <c r="B171">
        <f>IF('Monthly Tracker'!H171="Y",'Monthly Tracker'!I171,0)</f>
        <v/>
      </c>
      <c r="C171">
        <f>SUM(B2:B171)</f>
        <v/>
      </c>
      <c r="D171">
        <f>B171*(1+0.01)^170</f>
        <v/>
      </c>
    </row>
    <row r="172">
      <c r="B172">
        <f>IF('Monthly Tracker'!H172="Y",'Monthly Tracker'!I172,0)</f>
        <v/>
      </c>
      <c r="C172">
        <f>SUM(B2:B172)</f>
        <v/>
      </c>
      <c r="D172">
        <f>B172*(1+0.01)^171</f>
        <v/>
      </c>
    </row>
    <row r="173">
      <c r="B173">
        <f>IF('Monthly Tracker'!H173="Y",'Monthly Tracker'!I173,0)</f>
        <v/>
      </c>
      <c r="C173">
        <f>SUM(B2:B173)</f>
        <v/>
      </c>
      <c r="D173">
        <f>B173*(1+0.01)^172</f>
        <v/>
      </c>
    </row>
    <row r="174">
      <c r="B174">
        <f>IF('Monthly Tracker'!H174="Y",'Monthly Tracker'!I174,0)</f>
        <v/>
      </c>
      <c r="C174">
        <f>SUM(B2:B174)</f>
        <v/>
      </c>
      <c r="D174">
        <f>B174*(1+0.01)^173</f>
        <v/>
      </c>
    </row>
    <row r="175">
      <c r="B175">
        <f>IF('Monthly Tracker'!H175="Y",'Monthly Tracker'!I175,0)</f>
        <v/>
      </c>
      <c r="C175">
        <f>SUM(B2:B175)</f>
        <v/>
      </c>
      <c r="D175">
        <f>B175*(1+0.01)^174</f>
        <v/>
      </c>
    </row>
    <row r="176">
      <c r="B176">
        <f>IF('Monthly Tracker'!H176="Y",'Monthly Tracker'!I176,0)</f>
        <v/>
      </c>
      <c r="C176">
        <f>SUM(B2:B176)</f>
        <v/>
      </c>
      <c r="D176">
        <f>B176*(1+0.01)^175</f>
        <v/>
      </c>
    </row>
    <row r="177">
      <c r="B177">
        <f>IF('Monthly Tracker'!H177="Y",'Monthly Tracker'!I177,0)</f>
        <v/>
      </c>
      <c r="C177">
        <f>SUM(B2:B177)</f>
        <v/>
      </c>
      <c r="D177">
        <f>B177*(1+0.01)^176</f>
        <v/>
      </c>
    </row>
    <row r="178">
      <c r="B178">
        <f>IF('Monthly Tracker'!H178="Y",'Monthly Tracker'!I178,0)</f>
        <v/>
      </c>
      <c r="C178">
        <f>SUM(B2:B178)</f>
        <v/>
      </c>
      <c r="D178">
        <f>B178*(1+0.01)^177</f>
        <v/>
      </c>
    </row>
    <row r="179">
      <c r="B179">
        <f>IF('Monthly Tracker'!H179="Y",'Monthly Tracker'!I179,0)</f>
        <v/>
      </c>
      <c r="C179">
        <f>SUM(B2:B179)</f>
        <v/>
      </c>
      <c r="D179">
        <f>B179*(1+0.01)^178</f>
        <v/>
      </c>
    </row>
    <row r="180">
      <c r="B180">
        <f>IF('Monthly Tracker'!H180="Y",'Monthly Tracker'!I180,0)</f>
        <v/>
      </c>
      <c r="C180">
        <f>SUM(B2:B180)</f>
        <v/>
      </c>
      <c r="D180">
        <f>B180*(1+0.01)^179</f>
        <v/>
      </c>
    </row>
    <row r="181">
      <c r="B181">
        <f>IF('Monthly Tracker'!H181="Y",'Monthly Tracker'!I181,0)</f>
        <v/>
      </c>
      <c r="C181">
        <f>SUM(B2:B181)</f>
        <v/>
      </c>
      <c r="D181">
        <f>B181*(1+0.01)^180</f>
        <v/>
      </c>
    </row>
    <row r="182">
      <c r="B182">
        <f>IF('Monthly Tracker'!H182="Y",'Monthly Tracker'!I182,0)</f>
        <v/>
      </c>
      <c r="C182">
        <f>SUM(B2:B182)</f>
        <v/>
      </c>
      <c r="D182">
        <f>B182*(1+0.01)^181</f>
        <v/>
      </c>
    </row>
    <row r="183">
      <c r="B183">
        <f>IF('Monthly Tracker'!H183="Y",'Monthly Tracker'!I183,0)</f>
        <v/>
      </c>
      <c r="C183">
        <f>SUM(B2:B183)</f>
        <v/>
      </c>
      <c r="D183">
        <f>B183*(1+0.01)^182</f>
        <v/>
      </c>
    </row>
    <row r="184">
      <c r="B184">
        <f>IF('Monthly Tracker'!H184="Y",'Monthly Tracker'!I184,0)</f>
        <v/>
      </c>
      <c r="C184">
        <f>SUM(B2:B184)</f>
        <v/>
      </c>
      <c r="D184">
        <f>B184*(1+0.01)^183</f>
        <v/>
      </c>
    </row>
    <row r="185">
      <c r="B185">
        <f>IF('Monthly Tracker'!H185="Y",'Monthly Tracker'!I185,0)</f>
        <v/>
      </c>
      <c r="C185">
        <f>SUM(B2:B185)</f>
        <v/>
      </c>
      <c r="D185">
        <f>B185*(1+0.01)^184</f>
        <v/>
      </c>
    </row>
    <row r="186">
      <c r="B186">
        <f>IF('Monthly Tracker'!H186="Y",'Monthly Tracker'!I186,0)</f>
        <v/>
      </c>
      <c r="C186">
        <f>SUM(B2:B186)</f>
        <v/>
      </c>
      <c r="D186">
        <f>B186*(1+0.01)^185</f>
        <v/>
      </c>
    </row>
    <row r="187">
      <c r="B187">
        <f>IF('Monthly Tracker'!H187="Y",'Monthly Tracker'!I187,0)</f>
        <v/>
      </c>
      <c r="C187">
        <f>SUM(B2:B187)</f>
        <v/>
      </c>
      <c r="D187">
        <f>B187*(1+0.01)^186</f>
        <v/>
      </c>
    </row>
    <row r="188">
      <c r="B188">
        <f>IF('Monthly Tracker'!H188="Y",'Monthly Tracker'!I188,0)</f>
        <v/>
      </c>
      <c r="C188">
        <f>SUM(B2:B188)</f>
        <v/>
      </c>
      <c r="D188">
        <f>B188*(1+0.01)^187</f>
        <v/>
      </c>
    </row>
    <row r="189">
      <c r="B189">
        <f>IF('Monthly Tracker'!H189="Y",'Monthly Tracker'!I189,0)</f>
        <v/>
      </c>
      <c r="C189">
        <f>SUM(B2:B189)</f>
        <v/>
      </c>
      <c r="D189">
        <f>B189*(1+0.01)^188</f>
        <v/>
      </c>
    </row>
    <row r="190">
      <c r="B190">
        <f>IF('Monthly Tracker'!H190="Y",'Monthly Tracker'!I190,0)</f>
        <v/>
      </c>
      <c r="C190">
        <f>SUM(B2:B190)</f>
        <v/>
      </c>
      <c r="D190">
        <f>B190*(1+0.01)^189</f>
        <v/>
      </c>
    </row>
    <row r="191">
      <c r="B191">
        <f>IF('Monthly Tracker'!H191="Y",'Monthly Tracker'!I191,0)</f>
        <v/>
      </c>
      <c r="C191">
        <f>SUM(B2:B191)</f>
        <v/>
      </c>
      <c r="D191">
        <f>B191*(1+0.01)^190</f>
        <v/>
      </c>
    </row>
    <row r="192">
      <c r="B192">
        <f>IF('Monthly Tracker'!H192="Y",'Monthly Tracker'!I192,0)</f>
        <v/>
      </c>
      <c r="C192">
        <f>SUM(B2:B192)</f>
        <v/>
      </c>
      <c r="D192">
        <f>B192*(1+0.01)^191</f>
        <v/>
      </c>
    </row>
    <row r="193">
      <c r="B193">
        <f>IF('Monthly Tracker'!H193="Y",'Monthly Tracker'!I193,0)</f>
        <v/>
      </c>
      <c r="C193">
        <f>SUM(B2:B193)</f>
        <v/>
      </c>
      <c r="D193">
        <f>B193*(1+0.01)^192</f>
        <v/>
      </c>
    </row>
    <row r="194">
      <c r="B194">
        <f>IF('Monthly Tracker'!H194="Y",'Monthly Tracker'!I194,0)</f>
        <v/>
      </c>
      <c r="C194">
        <f>SUM(B2:B194)</f>
        <v/>
      </c>
      <c r="D194">
        <f>B194*(1+0.01)^193</f>
        <v/>
      </c>
    </row>
    <row r="195">
      <c r="B195">
        <f>IF('Monthly Tracker'!H195="Y",'Monthly Tracker'!I195,0)</f>
        <v/>
      </c>
      <c r="C195">
        <f>SUM(B2:B195)</f>
        <v/>
      </c>
      <c r="D195">
        <f>B195*(1+0.01)^194</f>
        <v/>
      </c>
    </row>
    <row r="196">
      <c r="B196">
        <f>IF('Monthly Tracker'!H196="Y",'Monthly Tracker'!I196,0)</f>
        <v/>
      </c>
      <c r="C196">
        <f>SUM(B2:B196)</f>
        <v/>
      </c>
      <c r="D196">
        <f>B196*(1+0.01)^195</f>
        <v/>
      </c>
    </row>
    <row r="197">
      <c r="B197">
        <f>IF('Monthly Tracker'!H197="Y",'Monthly Tracker'!I197,0)</f>
        <v/>
      </c>
      <c r="C197">
        <f>SUM(B2:B197)</f>
        <v/>
      </c>
      <c r="D197">
        <f>B197*(1+0.01)^196</f>
        <v/>
      </c>
    </row>
    <row r="198">
      <c r="B198">
        <f>IF('Monthly Tracker'!H198="Y",'Monthly Tracker'!I198,0)</f>
        <v/>
      </c>
      <c r="C198">
        <f>SUM(B2:B198)</f>
        <v/>
      </c>
      <c r="D198">
        <f>B198*(1+0.01)^197</f>
        <v/>
      </c>
    </row>
    <row r="199">
      <c r="B199">
        <f>IF('Monthly Tracker'!H199="Y",'Monthly Tracker'!I199,0)</f>
        <v/>
      </c>
      <c r="C199">
        <f>SUM(B2:B199)</f>
        <v/>
      </c>
      <c r="D199">
        <f>B199*(1+0.01)^198</f>
        <v/>
      </c>
    </row>
    <row r="200">
      <c r="B200">
        <f>IF('Monthly Tracker'!H200="Y",'Monthly Tracker'!I200,0)</f>
        <v/>
      </c>
      <c r="C200">
        <f>SUM(B2:B200)</f>
        <v/>
      </c>
      <c r="D200">
        <f>B200*(1+0.01)^199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2026-05-01T07:35:19Z</dcterms:created>
  <dcterms:modified xsi:type="dcterms:W3CDTF">2026-05-01T07:35:19Z</dcterms:modified>
</cp:coreProperties>
</file>