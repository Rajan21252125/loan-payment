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racker" sheetId="1" state="visible" r:id="rId1"/>
    <sheet name="Loan Tracker" sheetId="2" state="visible" r:id="rId2"/>
    <sheet name="SIP Growth" sheetId="3" state="visible" r:id="rId3"/>
    <sheet name="Dashboard" sheetId="4" state="visible" r:id="rId4"/>
    <sheet name="Al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EMI vs SIP Growth</a:t>
            </a:r>
          </a:p>
        </rich>
      </tx>
    </title>
    <plotArea>
      <lineChart>
        <grouping val="standard"/>
        <ser>
          <idx val="0"/>
          <order val="0"/>
          <tx>
            <strRef>
              <f>'SIP Growth'!D1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'SIP Growth'!$D$2:$D$100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Planned EMI</t>
        </is>
      </c>
      <c r="D1" s="1" t="inlineStr">
        <is>
          <t>Actual EMI</t>
        </is>
      </c>
      <c r="E1" s="1" t="inlineStr">
        <is>
          <t>Extra EMI</t>
        </is>
      </c>
      <c r="F1" s="1" t="inlineStr">
        <is>
          <t>SIP</t>
        </is>
      </c>
      <c r="G1" s="1" t="inlineStr">
        <is>
          <t>Prepayment</t>
        </is>
      </c>
      <c r="H1" s="1" t="inlineStr">
        <is>
          <t>Status</t>
        </is>
      </c>
    </row>
    <row r="2">
      <c r="A2" t="n">
        <v>2026</v>
      </c>
      <c r="B2" t="inlineStr">
        <is>
          <t>Jan</t>
        </is>
      </c>
      <c r="C2" t="n">
        <v>29999</v>
      </c>
      <c r="D2" t="inlineStr"/>
      <c r="E2" t="inlineStr"/>
      <c r="F2" t="n">
        <v>5000</v>
      </c>
      <c r="G2" t="inlineStr"/>
      <c r="H2" t="inlineStr"/>
    </row>
    <row r="3">
      <c r="A3" t="n">
        <v>2026</v>
      </c>
      <c r="B3" t="inlineStr">
        <is>
          <t>Feb</t>
        </is>
      </c>
      <c r="C3" t="n">
        <v>29999</v>
      </c>
      <c r="D3" t="inlineStr"/>
      <c r="E3" t="inlineStr"/>
      <c r="F3" t="n">
        <v>5000</v>
      </c>
      <c r="G3" t="inlineStr"/>
      <c r="H3" t="inlineStr"/>
    </row>
    <row r="4">
      <c r="A4" t="n">
        <v>2026</v>
      </c>
      <c r="B4" t="inlineStr">
        <is>
          <t>Mar</t>
        </is>
      </c>
      <c r="C4" t="n">
        <v>29999</v>
      </c>
      <c r="D4" t="inlineStr"/>
      <c r="E4" t="inlineStr"/>
      <c r="F4" t="n">
        <v>5000</v>
      </c>
      <c r="G4" t="inlineStr"/>
      <c r="H4" t="inlineStr"/>
    </row>
    <row r="5">
      <c r="A5" t="n">
        <v>2026</v>
      </c>
      <c r="B5" t="inlineStr">
        <is>
          <t>Apr</t>
        </is>
      </c>
      <c r="C5" t="n">
        <v>29999</v>
      </c>
      <c r="D5" t="inlineStr"/>
      <c r="E5" t="inlineStr"/>
      <c r="F5" t="n">
        <v>5000</v>
      </c>
      <c r="G5" t="inlineStr"/>
      <c r="H5" t="inlineStr"/>
    </row>
    <row r="6">
      <c r="A6" t="n">
        <v>2026</v>
      </c>
      <c r="B6" t="inlineStr">
        <is>
          <t>May</t>
        </is>
      </c>
      <c r="C6" t="n">
        <v>29999</v>
      </c>
      <c r="D6" t="inlineStr"/>
      <c r="E6" t="inlineStr"/>
      <c r="F6" t="n">
        <v>5000</v>
      </c>
      <c r="G6" t="inlineStr"/>
      <c r="H6" t="inlineStr"/>
    </row>
    <row r="7">
      <c r="A7" t="n">
        <v>2026</v>
      </c>
      <c r="B7" t="inlineStr">
        <is>
          <t>Jun</t>
        </is>
      </c>
      <c r="C7" t="n">
        <v>29999</v>
      </c>
      <c r="D7" t="inlineStr"/>
      <c r="E7" t="inlineStr"/>
      <c r="F7" t="n">
        <v>5000</v>
      </c>
      <c r="G7" t="inlineStr"/>
      <c r="H7" t="inlineStr"/>
    </row>
    <row r="8">
      <c r="A8" t="n">
        <v>2026</v>
      </c>
      <c r="B8" t="inlineStr">
        <is>
          <t>Jul</t>
        </is>
      </c>
      <c r="C8" t="n">
        <v>29999</v>
      </c>
      <c r="D8" t="inlineStr"/>
      <c r="E8" t="inlineStr"/>
      <c r="F8" t="n">
        <v>5000</v>
      </c>
      <c r="G8" t="inlineStr"/>
      <c r="H8" t="inlineStr"/>
    </row>
    <row r="9">
      <c r="A9" t="n">
        <v>2026</v>
      </c>
      <c r="B9" t="inlineStr">
        <is>
          <t>Aug</t>
        </is>
      </c>
      <c r="C9" t="n">
        <v>29999</v>
      </c>
      <c r="D9" t="inlineStr"/>
      <c r="E9" t="inlineStr"/>
      <c r="F9" t="n">
        <v>5000</v>
      </c>
      <c r="G9" t="inlineStr"/>
      <c r="H9" t="inlineStr"/>
    </row>
    <row r="10">
      <c r="A10" t="n">
        <v>2026</v>
      </c>
      <c r="B10" t="inlineStr">
        <is>
          <t>Sep</t>
        </is>
      </c>
      <c r="C10" t="n">
        <v>29999</v>
      </c>
      <c r="D10" t="inlineStr"/>
      <c r="E10" t="inlineStr"/>
      <c r="F10" t="n">
        <v>5000</v>
      </c>
      <c r="G10" t="inlineStr"/>
      <c r="H10" t="inlineStr"/>
    </row>
    <row r="11">
      <c r="A11" t="n">
        <v>2026</v>
      </c>
      <c r="B11" t="inlineStr">
        <is>
          <t>Oct</t>
        </is>
      </c>
      <c r="C11" t="n">
        <v>29999</v>
      </c>
      <c r="D11" t="inlineStr"/>
      <c r="E11" t="inlineStr"/>
      <c r="F11" t="n">
        <v>5000</v>
      </c>
      <c r="G11" t="inlineStr"/>
      <c r="H11" t="inlineStr"/>
    </row>
    <row r="12">
      <c r="A12" t="n">
        <v>2026</v>
      </c>
      <c r="B12" t="inlineStr">
        <is>
          <t>Nov</t>
        </is>
      </c>
      <c r="C12" t="n">
        <v>29999</v>
      </c>
      <c r="D12" t="inlineStr"/>
      <c r="E12" t="inlineStr"/>
      <c r="F12" t="n">
        <v>5000</v>
      </c>
      <c r="G12" t="inlineStr"/>
      <c r="H12" t="inlineStr"/>
    </row>
    <row r="13">
      <c r="A13" t="n">
        <v>2026</v>
      </c>
      <c r="B13" t="inlineStr">
        <is>
          <t>Dec</t>
        </is>
      </c>
      <c r="C13" t="n">
        <v>29999</v>
      </c>
      <c r="D13" t="inlineStr"/>
      <c r="E13" t="inlineStr"/>
      <c r="F13" t="n">
        <v>5000</v>
      </c>
      <c r="G13" t="inlineStr"/>
      <c r="H13" t="inlineStr"/>
    </row>
    <row r="14">
      <c r="A14" t="n">
        <v>2027</v>
      </c>
      <c r="B14" t="inlineStr">
        <is>
          <t>Jan</t>
        </is>
      </c>
      <c r="C14" t="n">
        <v>29999</v>
      </c>
      <c r="D14" t="inlineStr"/>
      <c r="E14" t="inlineStr"/>
      <c r="F14" t="n">
        <v>5000</v>
      </c>
      <c r="G14" t="inlineStr"/>
      <c r="H14" t="inlineStr"/>
    </row>
    <row r="15">
      <c r="A15" t="n">
        <v>2027</v>
      </c>
      <c r="B15" t="inlineStr">
        <is>
          <t>Feb</t>
        </is>
      </c>
      <c r="C15" t="n">
        <v>29999</v>
      </c>
      <c r="D15" t="inlineStr"/>
      <c r="E15" t="inlineStr"/>
      <c r="F15" t="n">
        <v>5000</v>
      </c>
      <c r="G15" t="inlineStr"/>
      <c r="H15" t="inlineStr"/>
    </row>
    <row r="16">
      <c r="A16" t="n">
        <v>2027</v>
      </c>
      <c r="B16" t="inlineStr">
        <is>
          <t>Mar</t>
        </is>
      </c>
      <c r="C16" t="n">
        <v>29999</v>
      </c>
      <c r="D16" t="inlineStr"/>
      <c r="E16" t="inlineStr"/>
      <c r="F16" t="n">
        <v>5000</v>
      </c>
      <c r="G16" t="inlineStr"/>
      <c r="H16" t="inlineStr"/>
    </row>
    <row r="17">
      <c r="A17" t="n">
        <v>2027</v>
      </c>
      <c r="B17" t="inlineStr">
        <is>
          <t>Apr</t>
        </is>
      </c>
      <c r="C17" t="n">
        <v>29999</v>
      </c>
      <c r="D17" t="inlineStr"/>
      <c r="E17" t="inlineStr"/>
      <c r="F17" t="n">
        <v>5000</v>
      </c>
      <c r="G17" t="inlineStr"/>
      <c r="H17" t="inlineStr"/>
    </row>
    <row r="18">
      <c r="A18" t="n">
        <v>2027</v>
      </c>
      <c r="B18" t="inlineStr">
        <is>
          <t>May</t>
        </is>
      </c>
      <c r="C18" t="n">
        <v>29999</v>
      </c>
      <c r="D18" t="inlineStr"/>
      <c r="E18" t="inlineStr"/>
      <c r="F18" t="n">
        <v>5000</v>
      </c>
      <c r="G18" t="inlineStr"/>
      <c r="H18" t="inlineStr"/>
    </row>
    <row r="19">
      <c r="A19" t="n">
        <v>2027</v>
      </c>
      <c r="B19" t="inlineStr">
        <is>
          <t>Jun</t>
        </is>
      </c>
      <c r="C19" t="n">
        <v>29999</v>
      </c>
      <c r="D19" t="inlineStr"/>
      <c r="E19" t="inlineStr"/>
      <c r="F19" t="n">
        <v>5000</v>
      </c>
      <c r="G19" t="inlineStr"/>
      <c r="H19" t="inlineStr"/>
    </row>
    <row r="20">
      <c r="A20" t="n">
        <v>2027</v>
      </c>
      <c r="B20" t="inlineStr">
        <is>
          <t>Jul</t>
        </is>
      </c>
      <c r="C20" t="n">
        <v>29999</v>
      </c>
      <c r="D20" t="inlineStr"/>
      <c r="E20" t="inlineStr"/>
      <c r="F20" t="n">
        <v>5000</v>
      </c>
      <c r="G20" t="inlineStr"/>
      <c r="H20" t="inlineStr"/>
    </row>
    <row r="21">
      <c r="A21" t="n">
        <v>2027</v>
      </c>
      <c r="B21" t="inlineStr">
        <is>
          <t>Aug</t>
        </is>
      </c>
      <c r="C21" t="n">
        <v>29999</v>
      </c>
      <c r="D21" t="inlineStr"/>
      <c r="E21" t="inlineStr"/>
      <c r="F21" t="n">
        <v>5000</v>
      </c>
      <c r="G21" t="inlineStr"/>
      <c r="H21" t="inlineStr"/>
    </row>
    <row r="22">
      <c r="A22" t="n">
        <v>2027</v>
      </c>
      <c r="B22" t="inlineStr">
        <is>
          <t>Sep</t>
        </is>
      </c>
      <c r="C22" t="n">
        <v>29999</v>
      </c>
      <c r="D22" t="inlineStr"/>
      <c r="E22" t="inlineStr"/>
      <c r="F22" t="n">
        <v>5000</v>
      </c>
      <c r="G22" t="inlineStr"/>
      <c r="H22" t="inlineStr"/>
    </row>
    <row r="23">
      <c r="A23" t="n">
        <v>2027</v>
      </c>
      <c r="B23" t="inlineStr">
        <is>
          <t>Oct</t>
        </is>
      </c>
      <c r="C23" t="n">
        <v>29999</v>
      </c>
      <c r="D23" t="inlineStr"/>
      <c r="E23" t="inlineStr"/>
      <c r="F23" t="n">
        <v>5000</v>
      </c>
      <c r="G23" t="inlineStr"/>
      <c r="H23" t="inlineStr"/>
    </row>
    <row r="24">
      <c r="A24" t="n">
        <v>2027</v>
      </c>
      <c r="B24" t="inlineStr">
        <is>
          <t>Nov</t>
        </is>
      </c>
      <c r="C24" t="n">
        <v>29999</v>
      </c>
      <c r="D24" t="inlineStr"/>
      <c r="E24" t="inlineStr"/>
      <c r="F24" t="n">
        <v>5000</v>
      </c>
      <c r="G24" t="inlineStr"/>
      <c r="H24" t="inlineStr"/>
    </row>
    <row r="25">
      <c r="A25" t="n">
        <v>2027</v>
      </c>
      <c r="B25" t="inlineStr">
        <is>
          <t>Dec</t>
        </is>
      </c>
      <c r="C25" t="n">
        <v>29999</v>
      </c>
      <c r="D25" t="inlineStr"/>
      <c r="E25" t="inlineStr"/>
      <c r="F25" t="n">
        <v>5000</v>
      </c>
      <c r="G25" t="inlineStr"/>
      <c r="H25" t="inlineStr"/>
    </row>
    <row r="26">
      <c r="A26" t="n">
        <v>2028</v>
      </c>
      <c r="B26" t="inlineStr">
        <is>
          <t>Jan</t>
        </is>
      </c>
      <c r="C26" t="n">
        <v>29999</v>
      </c>
      <c r="D26" t="inlineStr"/>
      <c r="E26" t="inlineStr"/>
      <c r="F26" t="n">
        <v>5000</v>
      </c>
      <c r="G26" t="inlineStr"/>
      <c r="H26" t="inlineStr"/>
    </row>
    <row r="27">
      <c r="A27" t="n">
        <v>2028</v>
      </c>
      <c r="B27" t="inlineStr">
        <is>
          <t>Feb</t>
        </is>
      </c>
      <c r="C27" t="n">
        <v>29999</v>
      </c>
      <c r="D27" t="inlineStr"/>
      <c r="E27" t="inlineStr"/>
      <c r="F27" t="n">
        <v>5000</v>
      </c>
      <c r="G27" t="inlineStr"/>
      <c r="H27" t="inlineStr"/>
    </row>
    <row r="28">
      <c r="A28" t="n">
        <v>2028</v>
      </c>
      <c r="B28" t="inlineStr">
        <is>
          <t>Mar</t>
        </is>
      </c>
      <c r="C28" t="n">
        <v>29999</v>
      </c>
      <c r="D28" t="inlineStr"/>
      <c r="E28" t="inlineStr"/>
      <c r="F28" t="n">
        <v>5000</v>
      </c>
      <c r="G28" t="inlineStr"/>
      <c r="H28" t="inlineStr"/>
    </row>
    <row r="29">
      <c r="A29" t="n">
        <v>2028</v>
      </c>
      <c r="B29" t="inlineStr">
        <is>
          <t>Apr</t>
        </is>
      </c>
      <c r="C29" t="n">
        <v>29999</v>
      </c>
      <c r="D29" t="inlineStr"/>
      <c r="E29" t="inlineStr"/>
      <c r="F29" t="n">
        <v>5000</v>
      </c>
      <c r="G29" t="inlineStr"/>
      <c r="H29" t="inlineStr"/>
    </row>
    <row r="30">
      <c r="A30" t="n">
        <v>2028</v>
      </c>
      <c r="B30" t="inlineStr">
        <is>
          <t>May</t>
        </is>
      </c>
      <c r="C30" t="n">
        <v>29999</v>
      </c>
      <c r="D30" t="inlineStr"/>
      <c r="E30" t="inlineStr"/>
      <c r="F30" t="n">
        <v>5000</v>
      </c>
      <c r="G30" t="inlineStr"/>
      <c r="H30" t="inlineStr"/>
    </row>
    <row r="31">
      <c r="A31" t="n">
        <v>2028</v>
      </c>
      <c r="B31" t="inlineStr">
        <is>
          <t>Jun</t>
        </is>
      </c>
      <c r="C31" t="n">
        <v>29999</v>
      </c>
      <c r="D31" t="inlineStr"/>
      <c r="E31" t="inlineStr"/>
      <c r="F31" t="n">
        <v>5000</v>
      </c>
      <c r="G31" t="inlineStr"/>
      <c r="H31" t="inlineStr"/>
    </row>
    <row r="32">
      <c r="A32" t="n">
        <v>2028</v>
      </c>
      <c r="B32" t="inlineStr">
        <is>
          <t>Jul</t>
        </is>
      </c>
      <c r="C32" t="n">
        <v>29999</v>
      </c>
      <c r="D32" t="inlineStr"/>
      <c r="E32" t="inlineStr"/>
      <c r="F32" t="n">
        <v>5000</v>
      </c>
      <c r="G32" t="inlineStr"/>
      <c r="H32" t="inlineStr"/>
    </row>
    <row r="33">
      <c r="A33" t="n">
        <v>2028</v>
      </c>
      <c r="B33" t="inlineStr">
        <is>
          <t>Aug</t>
        </is>
      </c>
      <c r="C33" t="n">
        <v>29999</v>
      </c>
      <c r="D33" t="inlineStr"/>
      <c r="E33" t="inlineStr"/>
      <c r="F33" t="n">
        <v>5000</v>
      </c>
      <c r="G33" t="inlineStr"/>
      <c r="H33" t="inlineStr"/>
    </row>
    <row r="34">
      <c r="A34" t="n">
        <v>2028</v>
      </c>
      <c r="B34" t="inlineStr">
        <is>
          <t>Sep</t>
        </is>
      </c>
      <c r="C34" t="n">
        <v>29999</v>
      </c>
      <c r="D34" t="inlineStr"/>
      <c r="E34" t="inlineStr"/>
      <c r="F34" t="n">
        <v>5000</v>
      </c>
      <c r="G34" t="inlineStr"/>
      <c r="H34" t="inlineStr"/>
    </row>
    <row r="35">
      <c r="A35" t="n">
        <v>2028</v>
      </c>
      <c r="B35" t="inlineStr">
        <is>
          <t>Oct</t>
        </is>
      </c>
      <c r="C35" t="n">
        <v>29999</v>
      </c>
      <c r="D35" t="inlineStr"/>
      <c r="E35" t="inlineStr"/>
      <c r="F35" t="n">
        <v>5000</v>
      </c>
      <c r="G35" t="inlineStr"/>
      <c r="H35" t="inlineStr"/>
    </row>
    <row r="36">
      <c r="A36" t="n">
        <v>2028</v>
      </c>
      <c r="B36" t="inlineStr">
        <is>
          <t>Nov</t>
        </is>
      </c>
      <c r="C36" t="n">
        <v>29999</v>
      </c>
      <c r="D36" t="inlineStr"/>
      <c r="E36" t="inlineStr"/>
      <c r="F36" t="n">
        <v>5000</v>
      </c>
      <c r="G36" t="inlineStr"/>
      <c r="H36" t="inlineStr"/>
    </row>
    <row r="37">
      <c r="A37" t="n">
        <v>2028</v>
      </c>
      <c r="B37" t="inlineStr">
        <is>
          <t>Dec</t>
        </is>
      </c>
      <c r="C37" t="n">
        <v>29999</v>
      </c>
      <c r="D37" t="inlineStr"/>
      <c r="E37" t="inlineStr"/>
      <c r="F37" t="n">
        <v>5000</v>
      </c>
      <c r="G37" t="inlineStr"/>
      <c r="H37" t="inlineStr"/>
    </row>
    <row r="38">
      <c r="A38" t="n">
        <v>2029</v>
      </c>
      <c r="B38" t="inlineStr">
        <is>
          <t>Jan</t>
        </is>
      </c>
      <c r="C38" t="n">
        <v>29999</v>
      </c>
      <c r="D38" t="inlineStr"/>
      <c r="E38" t="inlineStr"/>
      <c r="F38" t="n">
        <v>5000</v>
      </c>
      <c r="G38" t="inlineStr"/>
      <c r="H38" t="inlineStr"/>
    </row>
    <row r="39">
      <c r="A39" t="n">
        <v>2029</v>
      </c>
      <c r="B39" t="inlineStr">
        <is>
          <t>Feb</t>
        </is>
      </c>
      <c r="C39" t="n">
        <v>29999</v>
      </c>
      <c r="D39" t="inlineStr"/>
      <c r="E39" t="inlineStr"/>
      <c r="F39" t="n">
        <v>5000</v>
      </c>
      <c r="G39" t="inlineStr"/>
      <c r="H39" t="inlineStr"/>
    </row>
    <row r="40">
      <c r="A40" t="n">
        <v>2029</v>
      </c>
      <c r="B40" t="inlineStr">
        <is>
          <t>Mar</t>
        </is>
      </c>
      <c r="C40" t="n">
        <v>29999</v>
      </c>
      <c r="D40" t="inlineStr"/>
      <c r="E40" t="inlineStr"/>
      <c r="F40" t="n">
        <v>5000</v>
      </c>
      <c r="G40" t="inlineStr"/>
      <c r="H40" t="inlineStr"/>
    </row>
    <row r="41">
      <c r="A41" t="n">
        <v>2029</v>
      </c>
      <c r="B41" t="inlineStr">
        <is>
          <t>Apr</t>
        </is>
      </c>
      <c r="C41" t="n">
        <v>29999</v>
      </c>
      <c r="D41" t="inlineStr"/>
      <c r="E41" t="inlineStr"/>
      <c r="F41" t="n">
        <v>5000</v>
      </c>
      <c r="G41" t="inlineStr"/>
      <c r="H41" t="inlineStr"/>
    </row>
    <row r="42">
      <c r="A42" t="n">
        <v>2029</v>
      </c>
      <c r="B42" t="inlineStr">
        <is>
          <t>May</t>
        </is>
      </c>
      <c r="C42" t="n">
        <v>29999</v>
      </c>
      <c r="D42" t="inlineStr"/>
      <c r="E42" t="inlineStr"/>
      <c r="F42" t="n">
        <v>5000</v>
      </c>
      <c r="G42" t="inlineStr"/>
      <c r="H42" t="inlineStr"/>
    </row>
    <row r="43">
      <c r="A43" t="n">
        <v>2029</v>
      </c>
      <c r="B43" t="inlineStr">
        <is>
          <t>Jun</t>
        </is>
      </c>
      <c r="C43" t="n">
        <v>29999</v>
      </c>
      <c r="D43" t="inlineStr"/>
      <c r="E43" t="inlineStr"/>
      <c r="F43" t="n">
        <v>5000</v>
      </c>
      <c r="G43" t="inlineStr"/>
      <c r="H43" t="inlineStr"/>
    </row>
    <row r="44">
      <c r="A44" t="n">
        <v>2029</v>
      </c>
      <c r="B44" t="inlineStr">
        <is>
          <t>Jul</t>
        </is>
      </c>
      <c r="C44" t="n">
        <v>29999</v>
      </c>
      <c r="D44" t="inlineStr"/>
      <c r="E44" t="inlineStr"/>
      <c r="F44" t="n">
        <v>5000</v>
      </c>
      <c r="G44" t="inlineStr"/>
      <c r="H44" t="inlineStr"/>
    </row>
    <row r="45">
      <c r="A45" t="n">
        <v>2029</v>
      </c>
      <c r="B45" t="inlineStr">
        <is>
          <t>Aug</t>
        </is>
      </c>
      <c r="C45" t="n">
        <v>29999</v>
      </c>
      <c r="D45" t="inlineStr"/>
      <c r="E45" t="inlineStr"/>
      <c r="F45" t="n">
        <v>5000</v>
      </c>
      <c r="G45" t="inlineStr"/>
      <c r="H45" t="inlineStr"/>
    </row>
    <row r="46">
      <c r="A46" t="n">
        <v>2029</v>
      </c>
      <c r="B46" t="inlineStr">
        <is>
          <t>Sep</t>
        </is>
      </c>
      <c r="C46" t="n">
        <v>29999</v>
      </c>
      <c r="D46" t="inlineStr"/>
      <c r="E46" t="inlineStr"/>
      <c r="F46" t="n">
        <v>5000</v>
      </c>
      <c r="G46" t="inlineStr"/>
      <c r="H46" t="inlineStr"/>
    </row>
    <row r="47">
      <c r="A47" t="n">
        <v>2029</v>
      </c>
      <c r="B47" t="inlineStr">
        <is>
          <t>Oct</t>
        </is>
      </c>
      <c r="C47" t="n">
        <v>29999</v>
      </c>
      <c r="D47" t="inlineStr"/>
      <c r="E47" t="inlineStr"/>
      <c r="F47" t="n">
        <v>5000</v>
      </c>
      <c r="G47" t="inlineStr"/>
      <c r="H47" t="inlineStr"/>
    </row>
    <row r="48">
      <c r="A48" t="n">
        <v>2029</v>
      </c>
      <c r="B48" t="inlineStr">
        <is>
          <t>Nov</t>
        </is>
      </c>
      <c r="C48" t="n">
        <v>29999</v>
      </c>
      <c r="D48" t="inlineStr"/>
      <c r="E48" t="inlineStr"/>
      <c r="F48" t="n">
        <v>5000</v>
      </c>
      <c r="G48" t="inlineStr"/>
      <c r="H48" t="inlineStr"/>
    </row>
    <row r="49">
      <c r="A49" t="n">
        <v>2029</v>
      </c>
      <c r="B49" t="inlineStr">
        <is>
          <t>Dec</t>
        </is>
      </c>
      <c r="C49" t="n">
        <v>29999</v>
      </c>
      <c r="D49" t="inlineStr"/>
      <c r="E49" t="inlineStr"/>
      <c r="F49" t="n">
        <v>5000</v>
      </c>
      <c r="G49" t="inlineStr"/>
      <c r="H49" t="inlineStr"/>
    </row>
    <row r="50">
      <c r="A50" t="n">
        <v>2030</v>
      </c>
      <c r="B50" t="inlineStr">
        <is>
          <t>Jan</t>
        </is>
      </c>
      <c r="C50" t="n">
        <v>29999</v>
      </c>
      <c r="D50" t="inlineStr"/>
      <c r="E50" t="inlineStr"/>
      <c r="F50" t="n">
        <v>5000</v>
      </c>
      <c r="G50" t="inlineStr"/>
      <c r="H50" t="inlineStr"/>
    </row>
    <row r="51">
      <c r="A51" t="n">
        <v>2030</v>
      </c>
      <c r="B51" t="inlineStr">
        <is>
          <t>Feb</t>
        </is>
      </c>
      <c r="C51" t="n">
        <v>29999</v>
      </c>
      <c r="D51" t="inlineStr"/>
      <c r="E51" t="inlineStr"/>
      <c r="F51" t="n">
        <v>5000</v>
      </c>
      <c r="G51" t="inlineStr"/>
      <c r="H51" t="inlineStr"/>
    </row>
    <row r="52">
      <c r="A52" t="n">
        <v>2030</v>
      </c>
      <c r="B52" t="inlineStr">
        <is>
          <t>Mar</t>
        </is>
      </c>
      <c r="C52" t="n">
        <v>29999</v>
      </c>
      <c r="D52" t="inlineStr"/>
      <c r="E52" t="inlineStr"/>
      <c r="F52" t="n">
        <v>5000</v>
      </c>
      <c r="G52" t="inlineStr"/>
      <c r="H52" t="inlineStr"/>
    </row>
    <row r="53">
      <c r="A53" t="n">
        <v>2030</v>
      </c>
      <c r="B53" t="inlineStr">
        <is>
          <t>Apr</t>
        </is>
      </c>
      <c r="C53" t="n">
        <v>29999</v>
      </c>
      <c r="D53" t="inlineStr"/>
      <c r="E53" t="inlineStr"/>
      <c r="F53" t="n">
        <v>5000</v>
      </c>
      <c r="G53" t="inlineStr"/>
      <c r="H53" t="inlineStr"/>
    </row>
    <row r="54">
      <c r="A54" t="n">
        <v>2030</v>
      </c>
      <c r="B54" t="inlineStr">
        <is>
          <t>May</t>
        </is>
      </c>
      <c r="C54" t="n">
        <v>29999</v>
      </c>
      <c r="D54" t="inlineStr"/>
      <c r="E54" t="inlineStr"/>
      <c r="F54" t="n">
        <v>5000</v>
      </c>
      <c r="G54" t="inlineStr"/>
      <c r="H54" t="inlineStr"/>
    </row>
    <row r="55">
      <c r="A55" t="n">
        <v>2030</v>
      </c>
      <c r="B55" t="inlineStr">
        <is>
          <t>Jun</t>
        </is>
      </c>
      <c r="C55" t="n">
        <v>29999</v>
      </c>
      <c r="D55" t="inlineStr"/>
      <c r="E55" t="inlineStr"/>
      <c r="F55" t="n">
        <v>5000</v>
      </c>
      <c r="G55" t="inlineStr"/>
      <c r="H55" t="inlineStr"/>
    </row>
    <row r="56">
      <c r="A56" t="n">
        <v>2030</v>
      </c>
      <c r="B56" t="inlineStr">
        <is>
          <t>Jul</t>
        </is>
      </c>
      <c r="C56" t="n">
        <v>29999</v>
      </c>
      <c r="D56" t="inlineStr"/>
      <c r="E56" t="inlineStr"/>
      <c r="F56" t="n">
        <v>5000</v>
      </c>
      <c r="G56" t="inlineStr"/>
      <c r="H56" t="inlineStr"/>
    </row>
    <row r="57">
      <c r="A57" t="n">
        <v>2030</v>
      </c>
      <c r="B57" t="inlineStr">
        <is>
          <t>Aug</t>
        </is>
      </c>
      <c r="C57" t="n">
        <v>29999</v>
      </c>
      <c r="D57" t="inlineStr"/>
      <c r="E57" t="inlineStr"/>
      <c r="F57" t="n">
        <v>5000</v>
      </c>
      <c r="G57" t="inlineStr"/>
      <c r="H57" t="inlineStr"/>
    </row>
    <row r="58">
      <c r="A58" t="n">
        <v>2030</v>
      </c>
      <c r="B58" t="inlineStr">
        <is>
          <t>Sep</t>
        </is>
      </c>
      <c r="C58" t="n">
        <v>29999</v>
      </c>
      <c r="D58" t="inlineStr"/>
      <c r="E58" t="inlineStr"/>
      <c r="F58" t="n">
        <v>5000</v>
      </c>
      <c r="G58" t="inlineStr"/>
      <c r="H58" t="inlineStr"/>
    </row>
    <row r="59">
      <c r="A59" t="n">
        <v>2030</v>
      </c>
      <c r="B59" t="inlineStr">
        <is>
          <t>Oct</t>
        </is>
      </c>
      <c r="C59" t="n">
        <v>29999</v>
      </c>
      <c r="D59" t="inlineStr"/>
      <c r="E59" t="inlineStr"/>
      <c r="F59" t="n">
        <v>5000</v>
      </c>
      <c r="G59" t="inlineStr"/>
      <c r="H59" t="inlineStr"/>
    </row>
    <row r="60">
      <c r="A60" t="n">
        <v>2030</v>
      </c>
      <c r="B60" t="inlineStr">
        <is>
          <t>Nov</t>
        </is>
      </c>
      <c r="C60" t="n">
        <v>29999</v>
      </c>
      <c r="D60" t="inlineStr"/>
      <c r="E60" t="inlineStr"/>
      <c r="F60" t="n">
        <v>5000</v>
      </c>
      <c r="G60" t="inlineStr"/>
      <c r="H60" t="inlineStr"/>
    </row>
    <row r="61">
      <c r="A61" t="n">
        <v>2030</v>
      </c>
      <c r="B61" t="inlineStr">
        <is>
          <t>Dec</t>
        </is>
      </c>
      <c r="C61" t="n">
        <v>29999</v>
      </c>
      <c r="D61" t="inlineStr"/>
      <c r="E61" t="inlineStr"/>
      <c r="F61" t="n">
        <v>5000</v>
      </c>
      <c r="G61" t="inlineStr"/>
      <c r="H61" t="inlineStr"/>
    </row>
    <row r="62">
      <c r="A62" t="n">
        <v>2031</v>
      </c>
      <c r="B62" t="inlineStr">
        <is>
          <t>Jan</t>
        </is>
      </c>
      <c r="C62" t="n">
        <v>29999</v>
      </c>
      <c r="D62" t="inlineStr"/>
      <c r="E62" t="inlineStr"/>
      <c r="F62" t="n">
        <v>5000</v>
      </c>
      <c r="G62" t="inlineStr"/>
      <c r="H62" t="inlineStr"/>
    </row>
    <row r="63">
      <c r="A63" t="n">
        <v>2031</v>
      </c>
      <c r="B63" t="inlineStr">
        <is>
          <t>Feb</t>
        </is>
      </c>
      <c r="C63" t="n">
        <v>29999</v>
      </c>
      <c r="D63" t="inlineStr"/>
      <c r="E63" t="inlineStr"/>
      <c r="F63" t="n">
        <v>5000</v>
      </c>
      <c r="G63" t="inlineStr"/>
      <c r="H63" t="inlineStr"/>
    </row>
    <row r="64">
      <c r="A64" t="n">
        <v>2031</v>
      </c>
      <c r="B64" t="inlineStr">
        <is>
          <t>Mar</t>
        </is>
      </c>
      <c r="C64" t="n">
        <v>29999</v>
      </c>
      <c r="D64" t="inlineStr"/>
      <c r="E64" t="inlineStr"/>
      <c r="F64" t="n">
        <v>5000</v>
      </c>
      <c r="G64" t="inlineStr"/>
      <c r="H64" t="inlineStr"/>
    </row>
    <row r="65">
      <c r="A65" t="n">
        <v>2031</v>
      </c>
      <c r="B65" t="inlineStr">
        <is>
          <t>Apr</t>
        </is>
      </c>
      <c r="C65" t="n">
        <v>29999</v>
      </c>
      <c r="D65" t="inlineStr"/>
      <c r="E65" t="inlineStr"/>
      <c r="F65" t="n">
        <v>5000</v>
      </c>
      <c r="G65" t="inlineStr"/>
      <c r="H65" t="inlineStr"/>
    </row>
    <row r="66">
      <c r="A66" t="n">
        <v>2031</v>
      </c>
      <c r="B66" t="inlineStr">
        <is>
          <t>May</t>
        </is>
      </c>
      <c r="C66" t="n">
        <v>29999</v>
      </c>
      <c r="D66" t="inlineStr"/>
      <c r="E66" t="inlineStr"/>
      <c r="F66" t="n">
        <v>5000</v>
      </c>
      <c r="G66" t="inlineStr"/>
      <c r="H66" t="inlineStr"/>
    </row>
    <row r="67">
      <c r="A67" t="n">
        <v>2031</v>
      </c>
      <c r="B67" t="inlineStr">
        <is>
          <t>Jun</t>
        </is>
      </c>
      <c r="C67" t="n">
        <v>29999</v>
      </c>
      <c r="D67" t="inlineStr"/>
      <c r="E67" t="inlineStr"/>
      <c r="F67" t="n">
        <v>5000</v>
      </c>
      <c r="G67" t="inlineStr"/>
      <c r="H67" t="inlineStr"/>
    </row>
    <row r="68">
      <c r="A68" t="n">
        <v>2031</v>
      </c>
      <c r="B68" t="inlineStr">
        <is>
          <t>Jul</t>
        </is>
      </c>
      <c r="C68" t="n">
        <v>29999</v>
      </c>
      <c r="D68" t="inlineStr"/>
      <c r="E68" t="inlineStr"/>
      <c r="F68" t="n">
        <v>5000</v>
      </c>
      <c r="G68" t="inlineStr"/>
      <c r="H68" t="inlineStr"/>
    </row>
    <row r="69">
      <c r="A69" t="n">
        <v>2031</v>
      </c>
      <c r="B69" t="inlineStr">
        <is>
          <t>Aug</t>
        </is>
      </c>
      <c r="C69" t="n">
        <v>29999</v>
      </c>
      <c r="D69" t="inlineStr"/>
      <c r="E69" t="inlineStr"/>
      <c r="F69" t="n">
        <v>5000</v>
      </c>
      <c r="G69" t="inlineStr"/>
      <c r="H69" t="inlineStr"/>
    </row>
    <row r="70">
      <c r="A70" t="n">
        <v>2031</v>
      </c>
      <c r="B70" t="inlineStr">
        <is>
          <t>Sep</t>
        </is>
      </c>
      <c r="C70" t="n">
        <v>29999</v>
      </c>
      <c r="D70" t="inlineStr"/>
      <c r="E70" t="inlineStr"/>
      <c r="F70" t="n">
        <v>5000</v>
      </c>
      <c r="G70" t="inlineStr"/>
      <c r="H70" t="inlineStr"/>
    </row>
    <row r="71">
      <c r="A71" t="n">
        <v>2031</v>
      </c>
      <c r="B71" t="inlineStr">
        <is>
          <t>Oct</t>
        </is>
      </c>
      <c r="C71" t="n">
        <v>29999</v>
      </c>
      <c r="D71" t="inlineStr"/>
      <c r="E71" t="inlineStr"/>
      <c r="F71" t="n">
        <v>5000</v>
      </c>
      <c r="G71" t="inlineStr"/>
      <c r="H71" t="inlineStr"/>
    </row>
    <row r="72">
      <c r="A72" t="n">
        <v>2031</v>
      </c>
      <c r="B72" t="inlineStr">
        <is>
          <t>Nov</t>
        </is>
      </c>
      <c r="C72" t="n">
        <v>29999</v>
      </c>
      <c r="D72" t="inlineStr"/>
      <c r="E72" t="inlineStr"/>
      <c r="F72" t="n">
        <v>5000</v>
      </c>
      <c r="G72" t="inlineStr"/>
      <c r="H72" t="inlineStr"/>
    </row>
    <row r="73">
      <c r="A73" t="n">
        <v>2031</v>
      </c>
      <c r="B73" t="inlineStr">
        <is>
          <t>Dec</t>
        </is>
      </c>
      <c r="C73" t="n">
        <v>29999</v>
      </c>
      <c r="D73" t="inlineStr"/>
      <c r="E73" t="inlineStr"/>
      <c r="F73" t="n">
        <v>5000</v>
      </c>
      <c r="G73" t="inlineStr"/>
      <c r="H73" t="inlineStr"/>
    </row>
    <row r="74">
      <c r="A74" t="n">
        <v>2032</v>
      </c>
      <c r="B74" t="inlineStr">
        <is>
          <t>Jan</t>
        </is>
      </c>
      <c r="C74" t="n">
        <v>29999</v>
      </c>
      <c r="D74" t="inlineStr"/>
      <c r="E74" t="inlineStr"/>
      <c r="F74" t="n">
        <v>5000</v>
      </c>
      <c r="G74" t="inlineStr"/>
      <c r="H74" t="inlineStr"/>
    </row>
    <row r="75">
      <c r="A75" t="n">
        <v>2032</v>
      </c>
      <c r="B75" t="inlineStr">
        <is>
          <t>Feb</t>
        </is>
      </c>
      <c r="C75" t="n">
        <v>29999</v>
      </c>
      <c r="D75" t="inlineStr"/>
      <c r="E75" t="inlineStr"/>
      <c r="F75" t="n">
        <v>5000</v>
      </c>
      <c r="G75" t="inlineStr"/>
      <c r="H75" t="inlineStr"/>
    </row>
    <row r="76">
      <c r="A76" t="n">
        <v>2032</v>
      </c>
      <c r="B76" t="inlineStr">
        <is>
          <t>Mar</t>
        </is>
      </c>
      <c r="C76" t="n">
        <v>29999</v>
      </c>
      <c r="D76" t="inlineStr"/>
      <c r="E76" t="inlineStr"/>
      <c r="F76" t="n">
        <v>5000</v>
      </c>
      <c r="G76" t="inlineStr"/>
      <c r="H76" t="inlineStr"/>
    </row>
    <row r="77">
      <c r="A77" t="n">
        <v>2032</v>
      </c>
      <c r="B77" t="inlineStr">
        <is>
          <t>Apr</t>
        </is>
      </c>
      <c r="C77" t="n">
        <v>29999</v>
      </c>
      <c r="D77" t="inlineStr"/>
      <c r="E77" t="inlineStr"/>
      <c r="F77" t="n">
        <v>5000</v>
      </c>
      <c r="G77" t="inlineStr"/>
      <c r="H77" t="inlineStr"/>
    </row>
    <row r="78">
      <c r="A78" t="n">
        <v>2032</v>
      </c>
      <c r="B78" t="inlineStr">
        <is>
          <t>May</t>
        </is>
      </c>
      <c r="C78" t="n">
        <v>29999</v>
      </c>
      <c r="D78" t="inlineStr"/>
      <c r="E78" t="inlineStr"/>
      <c r="F78" t="n">
        <v>5000</v>
      </c>
      <c r="G78" t="inlineStr"/>
      <c r="H78" t="inlineStr"/>
    </row>
    <row r="79">
      <c r="A79" t="n">
        <v>2032</v>
      </c>
      <c r="B79" t="inlineStr">
        <is>
          <t>Jun</t>
        </is>
      </c>
      <c r="C79" t="n">
        <v>29999</v>
      </c>
      <c r="D79" t="inlineStr"/>
      <c r="E79" t="inlineStr"/>
      <c r="F79" t="n">
        <v>5000</v>
      </c>
      <c r="G79" t="inlineStr"/>
      <c r="H79" t="inlineStr"/>
    </row>
    <row r="80">
      <c r="A80" t="n">
        <v>2032</v>
      </c>
      <c r="B80" t="inlineStr">
        <is>
          <t>Jul</t>
        </is>
      </c>
      <c r="C80" t="n">
        <v>29999</v>
      </c>
      <c r="D80" t="inlineStr"/>
      <c r="E80" t="inlineStr"/>
      <c r="F80" t="n">
        <v>5000</v>
      </c>
      <c r="G80" t="inlineStr"/>
      <c r="H80" t="inlineStr"/>
    </row>
    <row r="81">
      <c r="A81" t="n">
        <v>2032</v>
      </c>
      <c r="B81" t="inlineStr">
        <is>
          <t>Aug</t>
        </is>
      </c>
      <c r="C81" t="n">
        <v>29999</v>
      </c>
      <c r="D81" t="inlineStr"/>
      <c r="E81" t="inlineStr"/>
      <c r="F81" t="n">
        <v>5000</v>
      </c>
      <c r="G81" t="inlineStr"/>
      <c r="H81" t="inlineStr"/>
    </row>
    <row r="82">
      <c r="A82" t="n">
        <v>2032</v>
      </c>
      <c r="B82" t="inlineStr">
        <is>
          <t>Sep</t>
        </is>
      </c>
      <c r="C82" t="n">
        <v>29999</v>
      </c>
      <c r="D82" t="inlineStr"/>
      <c r="E82" t="inlineStr"/>
      <c r="F82" t="n">
        <v>5000</v>
      </c>
      <c r="G82" t="inlineStr"/>
      <c r="H82" t="inlineStr"/>
    </row>
    <row r="83">
      <c r="A83" t="n">
        <v>2032</v>
      </c>
      <c r="B83" t="inlineStr">
        <is>
          <t>Oct</t>
        </is>
      </c>
      <c r="C83" t="n">
        <v>29999</v>
      </c>
      <c r="D83" t="inlineStr"/>
      <c r="E83" t="inlineStr"/>
      <c r="F83" t="n">
        <v>5000</v>
      </c>
      <c r="G83" t="inlineStr"/>
      <c r="H83" t="inlineStr"/>
    </row>
    <row r="84">
      <c r="A84" t="n">
        <v>2032</v>
      </c>
      <c r="B84" t="inlineStr">
        <is>
          <t>Nov</t>
        </is>
      </c>
      <c r="C84" t="n">
        <v>29999</v>
      </c>
      <c r="D84" t="inlineStr"/>
      <c r="E84" t="inlineStr"/>
      <c r="F84" t="n">
        <v>5000</v>
      </c>
      <c r="G84" t="inlineStr"/>
      <c r="H84" t="inlineStr"/>
    </row>
    <row r="85">
      <c r="A85" t="n">
        <v>2032</v>
      </c>
      <c r="B85" t="inlineStr">
        <is>
          <t>Dec</t>
        </is>
      </c>
      <c r="C85" t="n">
        <v>29999</v>
      </c>
      <c r="D85" t="inlineStr"/>
      <c r="E85" t="inlineStr"/>
      <c r="F85" t="n">
        <v>5000</v>
      </c>
      <c r="G85" t="inlineStr"/>
      <c r="H85" t="inlineStr"/>
    </row>
    <row r="86">
      <c r="A86" t="n">
        <v>2033</v>
      </c>
      <c r="B86" t="inlineStr">
        <is>
          <t>Jan</t>
        </is>
      </c>
      <c r="C86" t="n">
        <v>29999</v>
      </c>
      <c r="D86" t="inlineStr"/>
      <c r="E86" t="inlineStr"/>
      <c r="F86" t="n">
        <v>5000</v>
      </c>
      <c r="G86" t="inlineStr"/>
      <c r="H86" t="inlineStr"/>
    </row>
    <row r="87">
      <c r="A87" t="n">
        <v>2033</v>
      </c>
      <c r="B87" t="inlineStr">
        <is>
          <t>Feb</t>
        </is>
      </c>
      <c r="C87" t="n">
        <v>29999</v>
      </c>
      <c r="D87" t="inlineStr"/>
      <c r="E87" t="inlineStr"/>
      <c r="F87" t="n">
        <v>5000</v>
      </c>
      <c r="G87" t="inlineStr"/>
      <c r="H87" t="inlineStr"/>
    </row>
    <row r="88">
      <c r="A88" t="n">
        <v>2033</v>
      </c>
      <c r="B88" t="inlineStr">
        <is>
          <t>Mar</t>
        </is>
      </c>
      <c r="C88" t="n">
        <v>29999</v>
      </c>
      <c r="D88" t="inlineStr"/>
      <c r="E88" t="inlineStr"/>
      <c r="F88" t="n">
        <v>5000</v>
      </c>
      <c r="G88" t="inlineStr"/>
      <c r="H88" t="inlineStr"/>
    </row>
    <row r="89">
      <c r="A89" t="n">
        <v>2033</v>
      </c>
      <c r="B89" t="inlineStr">
        <is>
          <t>Apr</t>
        </is>
      </c>
      <c r="C89" t="n">
        <v>29999</v>
      </c>
      <c r="D89" t="inlineStr"/>
      <c r="E89" t="inlineStr"/>
      <c r="F89" t="n">
        <v>5000</v>
      </c>
      <c r="G89" t="inlineStr"/>
      <c r="H89" t="inlineStr"/>
    </row>
    <row r="90">
      <c r="A90" t="n">
        <v>2033</v>
      </c>
      <c r="B90" t="inlineStr">
        <is>
          <t>May</t>
        </is>
      </c>
      <c r="C90" t="n">
        <v>29999</v>
      </c>
      <c r="D90" t="inlineStr"/>
      <c r="E90" t="inlineStr"/>
      <c r="F90" t="n">
        <v>5000</v>
      </c>
      <c r="G90" t="inlineStr"/>
      <c r="H90" t="inlineStr"/>
    </row>
    <row r="91">
      <c r="A91" t="n">
        <v>2033</v>
      </c>
      <c r="B91" t="inlineStr">
        <is>
          <t>Jun</t>
        </is>
      </c>
      <c r="C91" t="n">
        <v>29999</v>
      </c>
      <c r="D91" t="inlineStr"/>
      <c r="E91" t="inlineStr"/>
      <c r="F91" t="n">
        <v>5000</v>
      </c>
      <c r="G91" t="inlineStr"/>
      <c r="H91" t="inlineStr"/>
    </row>
    <row r="92">
      <c r="A92" t="n">
        <v>2033</v>
      </c>
      <c r="B92" t="inlineStr">
        <is>
          <t>Jul</t>
        </is>
      </c>
      <c r="C92" t="n">
        <v>29999</v>
      </c>
      <c r="D92" t="inlineStr"/>
      <c r="E92" t="inlineStr"/>
      <c r="F92" t="n">
        <v>5000</v>
      </c>
      <c r="G92" t="inlineStr"/>
      <c r="H92" t="inlineStr"/>
    </row>
    <row r="93">
      <c r="A93" t="n">
        <v>2033</v>
      </c>
      <c r="B93" t="inlineStr">
        <is>
          <t>Aug</t>
        </is>
      </c>
      <c r="C93" t="n">
        <v>29999</v>
      </c>
      <c r="D93" t="inlineStr"/>
      <c r="E93" t="inlineStr"/>
      <c r="F93" t="n">
        <v>5000</v>
      </c>
      <c r="G93" t="inlineStr"/>
      <c r="H93" t="inlineStr"/>
    </row>
    <row r="94">
      <c r="A94" t="n">
        <v>2033</v>
      </c>
      <c r="B94" t="inlineStr">
        <is>
          <t>Sep</t>
        </is>
      </c>
      <c r="C94" t="n">
        <v>29999</v>
      </c>
      <c r="D94" t="inlineStr"/>
      <c r="E94" t="inlineStr"/>
      <c r="F94" t="n">
        <v>5000</v>
      </c>
      <c r="G94" t="inlineStr"/>
      <c r="H94" t="inlineStr"/>
    </row>
    <row r="95">
      <c r="A95" t="n">
        <v>2033</v>
      </c>
      <c r="B95" t="inlineStr">
        <is>
          <t>Oct</t>
        </is>
      </c>
      <c r="C95" t="n">
        <v>29999</v>
      </c>
      <c r="D95" t="inlineStr"/>
      <c r="E95" t="inlineStr"/>
      <c r="F95" t="n">
        <v>5000</v>
      </c>
      <c r="G95" t="inlineStr"/>
      <c r="H95" t="inlineStr"/>
    </row>
    <row r="96">
      <c r="A96" t="n">
        <v>2033</v>
      </c>
      <c r="B96" t="inlineStr">
        <is>
          <t>Nov</t>
        </is>
      </c>
      <c r="C96" t="n">
        <v>29999</v>
      </c>
      <c r="D96" t="inlineStr"/>
      <c r="E96" t="inlineStr"/>
      <c r="F96" t="n">
        <v>5000</v>
      </c>
      <c r="G96" t="inlineStr"/>
      <c r="H96" t="inlineStr"/>
    </row>
    <row r="97">
      <c r="A97" t="n">
        <v>2033</v>
      </c>
      <c r="B97" t="inlineStr">
        <is>
          <t>Dec</t>
        </is>
      </c>
      <c r="C97" t="n">
        <v>29999</v>
      </c>
      <c r="D97" t="inlineStr"/>
      <c r="E97" t="inlineStr"/>
      <c r="F97" t="n">
        <v>5000</v>
      </c>
      <c r="G97" t="inlineStr"/>
      <c r="H97" t="inlineStr"/>
    </row>
    <row r="98">
      <c r="A98" t="n">
        <v>2034</v>
      </c>
      <c r="B98" t="inlineStr">
        <is>
          <t>Jan</t>
        </is>
      </c>
      <c r="C98" t="n">
        <v>29999</v>
      </c>
      <c r="D98" t="inlineStr"/>
      <c r="E98" t="inlineStr"/>
      <c r="F98" t="n">
        <v>5000</v>
      </c>
      <c r="G98" t="inlineStr"/>
      <c r="H98" t="inlineStr"/>
    </row>
    <row r="99">
      <c r="A99" t="n">
        <v>2034</v>
      </c>
      <c r="B99" t="inlineStr">
        <is>
          <t>Feb</t>
        </is>
      </c>
      <c r="C99" t="n">
        <v>29999</v>
      </c>
      <c r="D99" t="inlineStr"/>
      <c r="E99" t="inlineStr"/>
      <c r="F99" t="n">
        <v>5000</v>
      </c>
      <c r="G99" t="inlineStr"/>
      <c r="H99" t="inlineStr"/>
    </row>
    <row r="100">
      <c r="A100" t="n">
        <v>2034</v>
      </c>
      <c r="B100" t="inlineStr">
        <is>
          <t>Mar</t>
        </is>
      </c>
      <c r="C100" t="n">
        <v>29999</v>
      </c>
      <c r="D100" t="inlineStr"/>
      <c r="E100" t="inlineStr"/>
      <c r="F100" t="n">
        <v>5000</v>
      </c>
      <c r="G100" t="inlineStr"/>
      <c r="H100" t="inlineStr"/>
    </row>
    <row r="101">
      <c r="A101" t="n">
        <v>2034</v>
      </c>
      <c r="B101" t="inlineStr">
        <is>
          <t>Apr</t>
        </is>
      </c>
      <c r="C101" t="n">
        <v>29999</v>
      </c>
      <c r="D101" t="inlineStr"/>
      <c r="E101" t="inlineStr"/>
      <c r="F101" t="n">
        <v>5000</v>
      </c>
      <c r="G101" t="inlineStr"/>
      <c r="H101" t="inlineStr"/>
    </row>
    <row r="102">
      <c r="A102" t="n">
        <v>2034</v>
      </c>
      <c r="B102" t="inlineStr">
        <is>
          <t>May</t>
        </is>
      </c>
      <c r="C102" t="n">
        <v>29999</v>
      </c>
      <c r="D102" t="inlineStr"/>
      <c r="E102" t="inlineStr"/>
      <c r="F102" t="n">
        <v>5000</v>
      </c>
      <c r="G102" t="inlineStr"/>
      <c r="H102" t="inlineStr"/>
    </row>
    <row r="103">
      <c r="A103" t="n">
        <v>2034</v>
      </c>
      <c r="B103" t="inlineStr">
        <is>
          <t>Jun</t>
        </is>
      </c>
      <c r="C103" t="n">
        <v>29999</v>
      </c>
      <c r="D103" t="inlineStr"/>
      <c r="E103" t="inlineStr"/>
      <c r="F103" t="n">
        <v>5000</v>
      </c>
      <c r="G103" t="inlineStr"/>
      <c r="H103" t="inlineStr"/>
    </row>
    <row r="104">
      <c r="A104" t="n">
        <v>2034</v>
      </c>
      <c r="B104" t="inlineStr">
        <is>
          <t>Jul</t>
        </is>
      </c>
      <c r="C104" t="n">
        <v>29999</v>
      </c>
      <c r="D104" t="inlineStr"/>
      <c r="E104" t="inlineStr"/>
      <c r="F104" t="n">
        <v>5000</v>
      </c>
      <c r="G104" t="inlineStr"/>
      <c r="H104" t="inlineStr"/>
    </row>
    <row r="105">
      <c r="A105" t="n">
        <v>2034</v>
      </c>
      <c r="B105" t="inlineStr">
        <is>
          <t>Aug</t>
        </is>
      </c>
      <c r="C105" t="n">
        <v>29999</v>
      </c>
      <c r="D105" t="inlineStr"/>
      <c r="E105" t="inlineStr"/>
      <c r="F105" t="n">
        <v>5000</v>
      </c>
      <c r="G105" t="inlineStr"/>
      <c r="H105" t="inlineStr"/>
    </row>
    <row r="106">
      <c r="A106" t="n">
        <v>2034</v>
      </c>
      <c r="B106" t="inlineStr">
        <is>
          <t>Sep</t>
        </is>
      </c>
      <c r="C106" t="n">
        <v>29999</v>
      </c>
      <c r="D106" t="inlineStr"/>
      <c r="E106" t="inlineStr"/>
      <c r="F106" t="n">
        <v>5000</v>
      </c>
      <c r="G106" t="inlineStr"/>
      <c r="H106" t="inlineStr"/>
    </row>
    <row r="107">
      <c r="A107" t="n">
        <v>2034</v>
      </c>
      <c r="B107" t="inlineStr">
        <is>
          <t>Oct</t>
        </is>
      </c>
      <c r="C107" t="n">
        <v>29999</v>
      </c>
      <c r="D107" t="inlineStr"/>
      <c r="E107" t="inlineStr"/>
      <c r="F107" t="n">
        <v>5000</v>
      </c>
      <c r="G107" t="inlineStr"/>
      <c r="H107" t="inlineStr"/>
    </row>
    <row r="108">
      <c r="A108" t="n">
        <v>2034</v>
      </c>
      <c r="B108" t="inlineStr">
        <is>
          <t>Nov</t>
        </is>
      </c>
      <c r="C108" t="n">
        <v>29999</v>
      </c>
      <c r="D108" t="inlineStr"/>
      <c r="E108" t="inlineStr"/>
      <c r="F108" t="n">
        <v>5000</v>
      </c>
      <c r="G108" t="inlineStr"/>
      <c r="H108" t="inlineStr"/>
    </row>
    <row r="109">
      <c r="A109" t="n">
        <v>2034</v>
      </c>
      <c r="B109" t="inlineStr">
        <is>
          <t>Dec</t>
        </is>
      </c>
      <c r="C109" t="n">
        <v>29999</v>
      </c>
      <c r="D109" t="inlineStr"/>
      <c r="E109" t="inlineStr"/>
      <c r="F109" t="n">
        <v>5000</v>
      </c>
      <c r="G109" t="inlineStr"/>
      <c r="H109" t="inlineStr"/>
    </row>
    <row r="110">
      <c r="A110" t="n">
        <v>2035</v>
      </c>
      <c r="B110" t="inlineStr">
        <is>
          <t>Jan</t>
        </is>
      </c>
      <c r="C110" t="n">
        <v>29999</v>
      </c>
      <c r="D110" t="inlineStr"/>
      <c r="E110" t="inlineStr"/>
      <c r="F110" t="n">
        <v>5000</v>
      </c>
      <c r="G110" t="inlineStr"/>
      <c r="H110" t="inlineStr"/>
    </row>
    <row r="111">
      <c r="A111" t="n">
        <v>2035</v>
      </c>
      <c r="B111" t="inlineStr">
        <is>
          <t>Feb</t>
        </is>
      </c>
      <c r="C111" t="n">
        <v>29999</v>
      </c>
      <c r="D111" t="inlineStr"/>
      <c r="E111" t="inlineStr"/>
      <c r="F111" t="n">
        <v>5000</v>
      </c>
      <c r="G111" t="inlineStr"/>
      <c r="H111" t="inlineStr"/>
    </row>
    <row r="112">
      <c r="A112" t="n">
        <v>2035</v>
      </c>
      <c r="B112" t="inlineStr">
        <is>
          <t>Mar</t>
        </is>
      </c>
      <c r="C112" t="n">
        <v>29999</v>
      </c>
      <c r="D112" t="inlineStr"/>
      <c r="E112" t="inlineStr"/>
      <c r="F112" t="n">
        <v>5000</v>
      </c>
      <c r="G112" t="inlineStr"/>
      <c r="H112" t="inlineStr"/>
    </row>
    <row r="113">
      <c r="A113" t="n">
        <v>2035</v>
      </c>
      <c r="B113" t="inlineStr">
        <is>
          <t>Apr</t>
        </is>
      </c>
      <c r="C113" t="n">
        <v>29999</v>
      </c>
      <c r="D113" t="inlineStr"/>
      <c r="E113" t="inlineStr"/>
      <c r="F113" t="n">
        <v>5000</v>
      </c>
      <c r="G113" t="inlineStr"/>
      <c r="H113" t="inlineStr"/>
    </row>
    <row r="114">
      <c r="A114" t="n">
        <v>2035</v>
      </c>
      <c r="B114" t="inlineStr">
        <is>
          <t>May</t>
        </is>
      </c>
      <c r="C114" t="n">
        <v>29999</v>
      </c>
      <c r="D114" t="inlineStr"/>
      <c r="E114" t="inlineStr"/>
      <c r="F114" t="n">
        <v>5000</v>
      </c>
      <c r="G114" t="inlineStr"/>
      <c r="H114" t="inlineStr"/>
    </row>
    <row r="115">
      <c r="A115" t="n">
        <v>2035</v>
      </c>
      <c r="B115" t="inlineStr">
        <is>
          <t>Jun</t>
        </is>
      </c>
      <c r="C115" t="n">
        <v>29999</v>
      </c>
      <c r="D115" t="inlineStr"/>
      <c r="E115" t="inlineStr"/>
      <c r="F115" t="n">
        <v>5000</v>
      </c>
      <c r="G115" t="inlineStr"/>
      <c r="H115" t="inlineStr"/>
    </row>
    <row r="116">
      <c r="A116" t="n">
        <v>2035</v>
      </c>
      <c r="B116" t="inlineStr">
        <is>
          <t>Jul</t>
        </is>
      </c>
      <c r="C116" t="n">
        <v>29999</v>
      </c>
      <c r="D116" t="inlineStr"/>
      <c r="E116" t="inlineStr"/>
      <c r="F116" t="n">
        <v>5000</v>
      </c>
      <c r="G116" t="inlineStr"/>
      <c r="H116" t="inlineStr"/>
    </row>
    <row r="117">
      <c r="A117" t="n">
        <v>2035</v>
      </c>
      <c r="B117" t="inlineStr">
        <is>
          <t>Aug</t>
        </is>
      </c>
      <c r="C117" t="n">
        <v>29999</v>
      </c>
      <c r="D117" t="inlineStr"/>
      <c r="E117" t="inlineStr"/>
      <c r="F117" t="n">
        <v>5000</v>
      </c>
      <c r="G117" t="inlineStr"/>
      <c r="H117" t="inlineStr"/>
    </row>
    <row r="118">
      <c r="A118" t="n">
        <v>2035</v>
      </c>
      <c r="B118" t="inlineStr">
        <is>
          <t>Sep</t>
        </is>
      </c>
      <c r="C118" t="n">
        <v>29999</v>
      </c>
      <c r="D118" t="inlineStr"/>
      <c r="E118" t="inlineStr"/>
      <c r="F118" t="n">
        <v>5000</v>
      </c>
      <c r="G118" t="inlineStr"/>
      <c r="H118" t="inlineStr"/>
    </row>
    <row r="119">
      <c r="A119" t="n">
        <v>2035</v>
      </c>
      <c r="B119" t="inlineStr">
        <is>
          <t>Oct</t>
        </is>
      </c>
      <c r="C119" t="n">
        <v>29999</v>
      </c>
      <c r="D119" t="inlineStr"/>
      <c r="E119" t="inlineStr"/>
      <c r="F119" t="n">
        <v>5000</v>
      </c>
      <c r="G119" t="inlineStr"/>
      <c r="H119" t="inlineStr"/>
    </row>
    <row r="120">
      <c r="A120" t="n">
        <v>2035</v>
      </c>
      <c r="B120" t="inlineStr">
        <is>
          <t>Nov</t>
        </is>
      </c>
      <c r="C120" t="n">
        <v>29999</v>
      </c>
      <c r="D120" t="inlineStr"/>
      <c r="E120" t="inlineStr"/>
      <c r="F120" t="n">
        <v>5000</v>
      </c>
      <c r="G120" t="inlineStr"/>
      <c r="H120" t="inlineStr"/>
    </row>
    <row r="121">
      <c r="A121" t="n">
        <v>2035</v>
      </c>
      <c r="B121" t="inlineStr">
        <is>
          <t>Dec</t>
        </is>
      </c>
      <c r="C121" t="n">
        <v>29999</v>
      </c>
      <c r="D121" t="inlineStr"/>
      <c r="E121" t="inlineStr"/>
      <c r="F121" t="n">
        <v>5000</v>
      </c>
      <c r="G121" t="inlineStr"/>
      <c r="H121" t="inlineStr"/>
    </row>
    <row r="122">
      <c r="A122" t="n">
        <v>2036</v>
      </c>
      <c r="B122" t="inlineStr">
        <is>
          <t>Jan</t>
        </is>
      </c>
      <c r="C122" t="n">
        <v>29999</v>
      </c>
      <c r="D122" t="inlineStr"/>
      <c r="E122" t="inlineStr"/>
      <c r="F122" t="n">
        <v>5000</v>
      </c>
      <c r="G122" t="inlineStr"/>
      <c r="H122" t="inlineStr"/>
    </row>
    <row r="123">
      <c r="A123" t="n">
        <v>2036</v>
      </c>
      <c r="B123" t="inlineStr">
        <is>
          <t>Feb</t>
        </is>
      </c>
      <c r="C123" t="n">
        <v>29999</v>
      </c>
      <c r="D123" t="inlineStr"/>
      <c r="E123" t="inlineStr"/>
      <c r="F123" t="n">
        <v>5000</v>
      </c>
      <c r="G123" t="inlineStr"/>
      <c r="H123" t="inlineStr"/>
    </row>
    <row r="124">
      <c r="A124" t="n">
        <v>2036</v>
      </c>
      <c r="B124" t="inlineStr">
        <is>
          <t>Mar</t>
        </is>
      </c>
      <c r="C124" t="n">
        <v>29999</v>
      </c>
      <c r="D124" t="inlineStr"/>
      <c r="E124" t="inlineStr"/>
      <c r="F124" t="n">
        <v>5000</v>
      </c>
      <c r="G124" t="inlineStr"/>
      <c r="H124" t="inlineStr"/>
    </row>
    <row r="125">
      <c r="A125" t="n">
        <v>2036</v>
      </c>
      <c r="B125" t="inlineStr">
        <is>
          <t>Apr</t>
        </is>
      </c>
      <c r="C125" t="n">
        <v>29999</v>
      </c>
      <c r="D125" t="inlineStr"/>
      <c r="E125" t="inlineStr"/>
      <c r="F125" t="n">
        <v>5000</v>
      </c>
      <c r="G125" t="inlineStr"/>
      <c r="H125" t="inlineStr"/>
    </row>
    <row r="126">
      <c r="A126" t="n">
        <v>2036</v>
      </c>
      <c r="B126" t="inlineStr">
        <is>
          <t>May</t>
        </is>
      </c>
      <c r="C126" t="n">
        <v>29999</v>
      </c>
      <c r="D126" t="inlineStr"/>
      <c r="E126" t="inlineStr"/>
      <c r="F126" t="n">
        <v>5000</v>
      </c>
      <c r="G126" t="inlineStr"/>
      <c r="H126" t="inlineStr"/>
    </row>
    <row r="127">
      <c r="A127" t="n">
        <v>2036</v>
      </c>
      <c r="B127" t="inlineStr">
        <is>
          <t>Jun</t>
        </is>
      </c>
      <c r="C127" t="n">
        <v>29999</v>
      </c>
      <c r="D127" t="inlineStr"/>
      <c r="E127" t="inlineStr"/>
      <c r="F127" t="n">
        <v>5000</v>
      </c>
      <c r="G127" t="inlineStr"/>
      <c r="H127" t="inlineStr"/>
    </row>
    <row r="128">
      <c r="A128" t="n">
        <v>2036</v>
      </c>
      <c r="B128" t="inlineStr">
        <is>
          <t>Jul</t>
        </is>
      </c>
      <c r="C128" t="n">
        <v>29999</v>
      </c>
      <c r="D128" t="inlineStr"/>
      <c r="E128" t="inlineStr"/>
      <c r="F128" t="n">
        <v>5000</v>
      </c>
      <c r="G128" t="inlineStr"/>
      <c r="H128" t="inlineStr"/>
    </row>
    <row r="129">
      <c r="A129" t="n">
        <v>2036</v>
      </c>
      <c r="B129" t="inlineStr">
        <is>
          <t>Aug</t>
        </is>
      </c>
      <c r="C129" t="n">
        <v>29999</v>
      </c>
      <c r="D129" t="inlineStr"/>
      <c r="E129" t="inlineStr"/>
      <c r="F129" t="n">
        <v>5000</v>
      </c>
      <c r="G129" t="inlineStr"/>
      <c r="H129" t="inlineStr"/>
    </row>
    <row r="130">
      <c r="A130" t="n">
        <v>2036</v>
      </c>
      <c r="B130" t="inlineStr">
        <is>
          <t>Sep</t>
        </is>
      </c>
      <c r="C130" t="n">
        <v>29999</v>
      </c>
      <c r="D130" t="inlineStr"/>
      <c r="E130" t="inlineStr"/>
      <c r="F130" t="n">
        <v>5000</v>
      </c>
      <c r="G130" t="inlineStr"/>
      <c r="H130" t="inlineStr"/>
    </row>
    <row r="131">
      <c r="A131" t="n">
        <v>2036</v>
      </c>
      <c r="B131" t="inlineStr">
        <is>
          <t>Oct</t>
        </is>
      </c>
      <c r="C131" t="n">
        <v>29999</v>
      </c>
      <c r="D131" t="inlineStr"/>
      <c r="E131" t="inlineStr"/>
      <c r="F131" t="n">
        <v>5000</v>
      </c>
      <c r="G131" t="inlineStr"/>
      <c r="H131" t="inlineStr"/>
    </row>
    <row r="132">
      <c r="A132" t="n">
        <v>2036</v>
      </c>
      <c r="B132" t="inlineStr">
        <is>
          <t>Nov</t>
        </is>
      </c>
      <c r="C132" t="n">
        <v>29999</v>
      </c>
      <c r="D132" t="inlineStr"/>
      <c r="E132" t="inlineStr"/>
      <c r="F132" t="n">
        <v>5000</v>
      </c>
      <c r="G132" t="inlineStr"/>
      <c r="H132" t="inlineStr"/>
    </row>
    <row r="133">
      <c r="A133" t="n">
        <v>2036</v>
      </c>
      <c r="B133" t="inlineStr">
        <is>
          <t>Dec</t>
        </is>
      </c>
      <c r="C133" t="n">
        <v>29999</v>
      </c>
      <c r="D133" t="inlineStr"/>
      <c r="E133" t="inlineStr"/>
      <c r="F133" t="n">
        <v>5000</v>
      </c>
      <c r="G133" t="inlineStr"/>
      <c r="H133" t="inlineStr"/>
    </row>
    <row r="134">
      <c r="A134" t="n">
        <v>2037</v>
      </c>
      <c r="B134" t="inlineStr">
        <is>
          <t>Jan</t>
        </is>
      </c>
      <c r="C134" t="n">
        <v>29999</v>
      </c>
      <c r="D134" t="inlineStr"/>
      <c r="E134" t="inlineStr"/>
      <c r="F134" t="n">
        <v>5000</v>
      </c>
      <c r="G134" t="inlineStr"/>
      <c r="H134" t="inlineStr"/>
    </row>
    <row r="135">
      <c r="A135" t="n">
        <v>2037</v>
      </c>
      <c r="B135" t="inlineStr">
        <is>
          <t>Feb</t>
        </is>
      </c>
      <c r="C135" t="n">
        <v>29999</v>
      </c>
      <c r="D135" t="inlineStr"/>
      <c r="E135" t="inlineStr"/>
      <c r="F135" t="n">
        <v>5000</v>
      </c>
      <c r="G135" t="inlineStr"/>
      <c r="H135" t="inlineStr"/>
    </row>
    <row r="136">
      <c r="A136" t="n">
        <v>2037</v>
      </c>
      <c r="B136" t="inlineStr">
        <is>
          <t>Mar</t>
        </is>
      </c>
      <c r="C136" t="n">
        <v>29999</v>
      </c>
      <c r="D136" t="inlineStr"/>
      <c r="E136" t="inlineStr"/>
      <c r="F136" t="n">
        <v>5000</v>
      </c>
      <c r="G136" t="inlineStr"/>
      <c r="H136" t="inlineStr"/>
    </row>
    <row r="137">
      <c r="A137" t="n">
        <v>2037</v>
      </c>
      <c r="B137" t="inlineStr">
        <is>
          <t>Apr</t>
        </is>
      </c>
      <c r="C137" t="n">
        <v>29999</v>
      </c>
      <c r="D137" t="inlineStr"/>
      <c r="E137" t="inlineStr"/>
      <c r="F137" t="n">
        <v>5000</v>
      </c>
      <c r="G137" t="inlineStr"/>
      <c r="H137" t="inlineStr"/>
    </row>
    <row r="138">
      <c r="A138" t="n">
        <v>2037</v>
      </c>
      <c r="B138" t="inlineStr">
        <is>
          <t>May</t>
        </is>
      </c>
      <c r="C138" t="n">
        <v>29999</v>
      </c>
      <c r="D138" t="inlineStr"/>
      <c r="E138" t="inlineStr"/>
      <c r="F138" t="n">
        <v>5000</v>
      </c>
      <c r="G138" t="inlineStr"/>
      <c r="H138" t="inlineStr"/>
    </row>
    <row r="139">
      <c r="A139" t="n">
        <v>2037</v>
      </c>
      <c r="B139" t="inlineStr">
        <is>
          <t>Jun</t>
        </is>
      </c>
      <c r="C139" t="n">
        <v>29999</v>
      </c>
      <c r="D139" t="inlineStr"/>
      <c r="E139" t="inlineStr"/>
      <c r="F139" t="n">
        <v>5000</v>
      </c>
      <c r="G139" t="inlineStr"/>
      <c r="H139" t="inlineStr"/>
    </row>
    <row r="140">
      <c r="A140" t="n">
        <v>2037</v>
      </c>
      <c r="B140" t="inlineStr">
        <is>
          <t>Jul</t>
        </is>
      </c>
      <c r="C140" t="n">
        <v>29999</v>
      </c>
      <c r="D140" t="inlineStr"/>
      <c r="E140" t="inlineStr"/>
      <c r="F140" t="n">
        <v>5000</v>
      </c>
      <c r="G140" t="inlineStr"/>
      <c r="H140" t="inlineStr"/>
    </row>
    <row r="141">
      <c r="A141" t="n">
        <v>2037</v>
      </c>
      <c r="B141" t="inlineStr">
        <is>
          <t>Aug</t>
        </is>
      </c>
      <c r="C141" t="n">
        <v>29999</v>
      </c>
      <c r="D141" t="inlineStr"/>
      <c r="E141" t="inlineStr"/>
      <c r="F141" t="n">
        <v>5000</v>
      </c>
      <c r="G141" t="inlineStr"/>
      <c r="H141" t="inlineStr"/>
    </row>
    <row r="142">
      <c r="A142" t="n">
        <v>2037</v>
      </c>
      <c r="B142" t="inlineStr">
        <is>
          <t>Sep</t>
        </is>
      </c>
      <c r="C142" t="n">
        <v>29999</v>
      </c>
      <c r="D142" t="inlineStr"/>
      <c r="E142" t="inlineStr"/>
      <c r="F142" t="n">
        <v>5000</v>
      </c>
      <c r="G142" t="inlineStr"/>
      <c r="H142" t="inlineStr"/>
    </row>
    <row r="143">
      <c r="A143" t="n">
        <v>2037</v>
      </c>
      <c r="B143" t="inlineStr">
        <is>
          <t>Oct</t>
        </is>
      </c>
      <c r="C143" t="n">
        <v>29999</v>
      </c>
      <c r="D143" t="inlineStr"/>
      <c r="E143" t="inlineStr"/>
      <c r="F143" t="n">
        <v>5000</v>
      </c>
      <c r="G143" t="inlineStr"/>
      <c r="H143" t="inlineStr"/>
    </row>
    <row r="144">
      <c r="A144" t="n">
        <v>2037</v>
      </c>
      <c r="B144" t="inlineStr">
        <is>
          <t>Nov</t>
        </is>
      </c>
      <c r="C144" t="n">
        <v>29999</v>
      </c>
      <c r="D144" t="inlineStr"/>
      <c r="E144" t="inlineStr"/>
      <c r="F144" t="n">
        <v>5000</v>
      </c>
      <c r="G144" t="inlineStr"/>
      <c r="H144" t="inlineStr"/>
    </row>
    <row r="145">
      <c r="A145" t="n">
        <v>2037</v>
      </c>
      <c r="B145" t="inlineStr">
        <is>
          <t>Dec</t>
        </is>
      </c>
      <c r="C145" t="n">
        <v>29999</v>
      </c>
      <c r="D145" t="inlineStr"/>
      <c r="E145" t="inlineStr"/>
      <c r="F145" t="n">
        <v>5000</v>
      </c>
      <c r="G145" t="inlineStr"/>
      <c r="H1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Opening Balance</t>
        </is>
      </c>
      <c r="C1" t="inlineStr">
        <is>
          <t>EMI</t>
        </is>
      </c>
      <c r="D1" t="inlineStr">
        <is>
          <t>Prepayment</t>
        </is>
      </c>
      <c r="E1" t="inlineStr">
        <is>
          <t>Interest</t>
        </is>
      </c>
      <c r="F1" t="inlineStr">
        <is>
          <t>Principal</t>
        </is>
      </c>
      <c r="G1" t="inlineStr">
        <is>
          <t>Closing Balance</t>
        </is>
      </c>
    </row>
    <row r="2">
      <c r="B2" t="n">
        <v>3500000</v>
      </c>
      <c r="C2" t="n">
        <v>29999</v>
      </c>
      <c r="D2">
        <f>'Monthly Tracker'!G2</f>
        <v/>
      </c>
      <c r="E2">
        <f>B2*0.007</f>
        <v/>
      </c>
      <c r="F2">
        <f>C2-E2+D2</f>
        <v/>
      </c>
      <c r="G2">
        <f>B2-F2</f>
        <v/>
      </c>
    </row>
    <row r="3">
      <c r="B3">
        <f>G2</f>
        <v/>
      </c>
      <c r="C3" t="n">
        <v>29999</v>
      </c>
      <c r="D3">
        <f>'Monthly Tracker'!G3</f>
        <v/>
      </c>
      <c r="E3">
        <f>B3*0.007</f>
        <v/>
      </c>
      <c r="F3">
        <f>C3-E3+D3</f>
        <v/>
      </c>
      <c r="G3">
        <f>B3-F3</f>
        <v/>
      </c>
    </row>
    <row r="4">
      <c r="B4">
        <f>G3</f>
        <v/>
      </c>
      <c r="C4" t="n">
        <v>29999</v>
      </c>
      <c r="D4">
        <f>'Monthly Tracker'!G4</f>
        <v/>
      </c>
      <c r="E4">
        <f>B4*0.007</f>
        <v/>
      </c>
      <c r="F4">
        <f>C4-E4+D4</f>
        <v/>
      </c>
      <c r="G4">
        <f>B4-F4</f>
        <v/>
      </c>
    </row>
    <row r="5">
      <c r="B5">
        <f>G4</f>
        <v/>
      </c>
      <c r="C5" t="n">
        <v>29999</v>
      </c>
      <c r="D5">
        <f>'Monthly Tracker'!G5</f>
        <v/>
      </c>
      <c r="E5">
        <f>B5*0.007</f>
        <v/>
      </c>
      <c r="F5">
        <f>C5-E5+D5</f>
        <v/>
      </c>
      <c r="G5">
        <f>B5-F5</f>
        <v/>
      </c>
    </row>
    <row r="6">
      <c r="B6">
        <f>G5</f>
        <v/>
      </c>
      <c r="C6" t="n">
        <v>29999</v>
      </c>
      <c r="D6">
        <f>'Monthly Tracker'!G6</f>
        <v/>
      </c>
      <c r="E6">
        <f>B6*0.007</f>
        <v/>
      </c>
      <c r="F6">
        <f>C6-E6+D6</f>
        <v/>
      </c>
      <c r="G6">
        <f>B6-F6</f>
        <v/>
      </c>
    </row>
    <row r="7">
      <c r="B7">
        <f>G6</f>
        <v/>
      </c>
      <c r="C7" t="n">
        <v>29999</v>
      </c>
      <c r="D7">
        <f>'Monthly Tracker'!G7</f>
        <v/>
      </c>
      <c r="E7">
        <f>B7*0.007</f>
        <v/>
      </c>
      <c r="F7">
        <f>C7-E7+D7</f>
        <v/>
      </c>
      <c r="G7">
        <f>B7-F7</f>
        <v/>
      </c>
    </row>
    <row r="8">
      <c r="B8">
        <f>G7</f>
        <v/>
      </c>
      <c r="C8" t="n">
        <v>29999</v>
      </c>
      <c r="D8">
        <f>'Monthly Tracker'!G8</f>
        <v/>
      </c>
      <c r="E8">
        <f>B8*0.007</f>
        <v/>
      </c>
      <c r="F8">
        <f>C8-E8+D8</f>
        <v/>
      </c>
      <c r="G8">
        <f>B8-F8</f>
        <v/>
      </c>
    </row>
    <row r="9">
      <c r="B9">
        <f>G8</f>
        <v/>
      </c>
      <c r="C9" t="n">
        <v>29999</v>
      </c>
      <c r="D9">
        <f>'Monthly Tracker'!G9</f>
        <v/>
      </c>
      <c r="E9">
        <f>B9*0.007</f>
        <v/>
      </c>
      <c r="F9">
        <f>C9-E9+D9</f>
        <v/>
      </c>
      <c r="G9">
        <f>B9-F9</f>
        <v/>
      </c>
    </row>
    <row r="10">
      <c r="B10">
        <f>G9</f>
        <v/>
      </c>
      <c r="C10" t="n">
        <v>29999</v>
      </c>
      <c r="D10">
        <f>'Monthly Tracker'!G10</f>
        <v/>
      </c>
      <c r="E10">
        <f>B10*0.007</f>
        <v/>
      </c>
      <c r="F10">
        <f>C10-E10+D10</f>
        <v/>
      </c>
      <c r="G10">
        <f>B10-F10</f>
        <v/>
      </c>
    </row>
    <row r="11">
      <c r="B11">
        <f>G10</f>
        <v/>
      </c>
      <c r="C11" t="n">
        <v>29999</v>
      </c>
      <c r="D11">
        <f>'Monthly Tracker'!G11</f>
        <v/>
      </c>
      <c r="E11">
        <f>B11*0.007</f>
        <v/>
      </c>
      <c r="F11">
        <f>C11-E11+D11</f>
        <v/>
      </c>
      <c r="G11">
        <f>B11-F11</f>
        <v/>
      </c>
    </row>
    <row r="12">
      <c r="B12">
        <f>G11</f>
        <v/>
      </c>
      <c r="C12" t="n">
        <v>29999</v>
      </c>
      <c r="D12">
        <f>'Monthly Tracker'!G12</f>
        <v/>
      </c>
      <c r="E12">
        <f>B12*0.007</f>
        <v/>
      </c>
      <c r="F12">
        <f>C12-E12+D12</f>
        <v/>
      </c>
      <c r="G12">
        <f>B12-F12</f>
        <v/>
      </c>
    </row>
    <row r="13">
      <c r="B13">
        <f>G12</f>
        <v/>
      </c>
      <c r="C13" t="n">
        <v>29999</v>
      </c>
      <c r="D13">
        <f>'Monthly Tracker'!G13</f>
        <v/>
      </c>
      <c r="E13">
        <f>B13*0.007</f>
        <v/>
      </c>
      <c r="F13">
        <f>C13-E13+D13</f>
        <v/>
      </c>
      <c r="G13">
        <f>B13-F13</f>
        <v/>
      </c>
    </row>
    <row r="14">
      <c r="B14">
        <f>G13</f>
        <v/>
      </c>
      <c r="C14" t="n">
        <v>29999</v>
      </c>
      <c r="D14">
        <f>'Monthly Tracker'!G14</f>
        <v/>
      </c>
      <c r="E14">
        <f>B14*0.007</f>
        <v/>
      </c>
      <c r="F14">
        <f>C14-E14+D14</f>
        <v/>
      </c>
      <c r="G14">
        <f>B14-F14</f>
        <v/>
      </c>
    </row>
    <row r="15">
      <c r="B15">
        <f>G14</f>
        <v/>
      </c>
      <c r="C15" t="n">
        <v>29999</v>
      </c>
      <c r="D15">
        <f>'Monthly Tracker'!G15</f>
        <v/>
      </c>
      <c r="E15">
        <f>B15*0.007</f>
        <v/>
      </c>
      <c r="F15">
        <f>C15-E15+D15</f>
        <v/>
      </c>
      <c r="G15">
        <f>B15-F15</f>
        <v/>
      </c>
    </row>
    <row r="16">
      <c r="B16">
        <f>G15</f>
        <v/>
      </c>
      <c r="C16" t="n">
        <v>29999</v>
      </c>
      <c r="D16">
        <f>'Monthly Tracker'!G16</f>
        <v/>
      </c>
      <c r="E16">
        <f>B16*0.007</f>
        <v/>
      </c>
      <c r="F16">
        <f>C16-E16+D16</f>
        <v/>
      </c>
      <c r="G16">
        <f>B16-F16</f>
        <v/>
      </c>
    </row>
    <row r="17">
      <c r="B17">
        <f>G16</f>
        <v/>
      </c>
      <c r="C17" t="n">
        <v>29999</v>
      </c>
      <c r="D17">
        <f>'Monthly Tracker'!G17</f>
        <v/>
      </c>
      <c r="E17">
        <f>B17*0.007</f>
        <v/>
      </c>
      <c r="F17">
        <f>C17-E17+D17</f>
        <v/>
      </c>
      <c r="G17">
        <f>B17-F17</f>
        <v/>
      </c>
    </row>
    <row r="18">
      <c r="B18">
        <f>G17</f>
        <v/>
      </c>
      <c r="C18" t="n">
        <v>29999</v>
      </c>
      <c r="D18">
        <f>'Monthly Tracker'!G18</f>
        <v/>
      </c>
      <c r="E18">
        <f>B18*0.007</f>
        <v/>
      </c>
      <c r="F18">
        <f>C18-E18+D18</f>
        <v/>
      </c>
      <c r="G18">
        <f>B18-F18</f>
        <v/>
      </c>
    </row>
    <row r="19">
      <c r="B19">
        <f>G18</f>
        <v/>
      </c>
      <c r="C19" t="n">
        <v>29999</v>
      </c>
      <c r="D19">
        <f>'Monthly Tracker'!G19</f>
        <v/>
      </c>
      <c r="E19">
        <f>B19*0.007</f>
        <v/>
      </c>
      <c r="F19">
        <f>C19-E19+D19</f>
        <v/>
      </c>
      <c r="G19">
        <f>B19-F19</f>
        <v/>
      </c>
    </row>
    <row r="20">
      <c r="B20">
        <f>G19</f>
        <v/>
      </c>
      <c r="C20" t="n">
        <v>29999</v>
      </c>
      <c r="D20">
        <f>'Monthly Tracker'!G20</f>
        <v/>
      </c>
      <c r="E20">
        <f>B20*0.007</f>
        <v/>
      </c>
      <c r="F20">
        <f>C20-E20+D20</f>
        <v/>
      </c>
      <c r="G20">
        <f>B20-F20</f>
        <v/>
      </c>
    </row>
    <row r="21">
      <c r="B21">
        <f>G20</f>
        <v/>
      </c>
      <c r="C21" t="n">
        <v>29999</v>
      </c>
      <c r="D21">
        <f>'Monthly Tracker'!G21</f>
        <v/>
      </c>
      <c r="E21">
        <f>B21*0.007</f>
        <v/>
      </c>
      <c r="F21">
        <f>C21-E21+D21</f>
        <v/>
      </c>
      <c r="G21">
        <f>B21-F21</f>
        <v/>
      </c>
    </row>
    <row r="22">
      <c r="B22">
        <f>G21</f>
        <v/>
      </c>
      <c r="C22" t="n">
        <v>29999</v>
      </c>
      <c r="D22">
        <f>'Monthly Tracker'!G22</f>
        <v/>
      </c>
      <c r="E22">
        <f>B22*0.007</f>
        <v/>
      </c>
      <c r="F22">
        <f>C22-E22+D22</f>
        <v/>
      </c>
      <c r="G22">
        <f>B22-F22</f>
        <v/>
      </c>
    </row>
    <row r="23">
      <c r="B23">
        <f>G22</f>
        <v/>
      </c>
      <c r="C23" t="n">
        <v>29999</v>
      </c>
      <c r="D23">
        <f>'Monthly Tracker'!G23</f>
        <v/>
      </c>
      <c r="E23">
        <f>B23*0.007</f>
        <v/>
      </c>
      <c r="F23">
        <f>C23-E23+D23</f>
        <v/>
      </c>
      <c r="G23">
        <f>B23-F23</f>
        <v/>
      </c>
    </row>
    <row r="24">
      <c r="B24">
        <f>G23</f>
        <v/>
      </c>
      <c r="C24" t="n">
        <v>29999</v>
      </c>
      <c r="D24">
        <f>'Monthly Tracker'!G24</f>
        <v/>
      </c>
      <c r="E24">
        <f>B24*0.007</f>
        <v/>
      </c>
      <c r="F24">
        <f>C24-E24+D24</f>
        <v/>
      </c>
      <c r="G24">
        <f>B24-F24</f>
        <v/>
      </c>
    </row>
    <row r="25">
      <c r="B25">
        <f>G24</f>
        <v/>
      </c>
      <c r="C25" t="n">
        <v>29999</v>
      </c>
      <c r="D25">
        <f>'Monthly Tracker'!G25</f>
        <v/>
      </c>
      <c r="E25">
        <f>B25*0.007</f>
        <v/>
      </c>
      <c r="F25">
        <f>C25-E25+D25</f>
        <v/>
      </c>
      <c r="G25">
        <f>B25-F25</f>
        <v/>
      </c>
    </row>
    <row r="26">
      <c r="B26">
        <f>G25</f>
        <v/>
      </c>
      <c r="C26" t="n">
        <v>29999</v>
      </c>
      <c r="D26">
        <f>'Monthly Tracker'!G26</f>
        <v/>
      </c>
      <c r="E26">
        <f>B26*0.007</f>
        <v/>
      </c>
      <c r="F26">
        <f>C26-E26+D26</f>
        <v/>
      </c>
      <c r="G26">
        <f>B26-F26</f>
        <v/>
      </c>
    </row>
    <row r="27">
      <c r="B27">
        <f>G26</f>
        <v/>
      </c>
      <c r="C27" t="n">
        <v>29999</v>
      </c>
      <c r="D27">
        <f>'Monthly Tracker'!G27</f>
        <v/>
      </c>
      <c r="E27">
        <f>B27*0.007</f>
        <v/>
      </c>
      <c r="F27">
        <f>C27-E27+D27</f>
        <v/>
      </c>
      <c r="G27">
        <f>B27-F27</f>
        <v/>
      </c>
    </row>
    <row r="28">
      <c r="B28">
        <f>G27</f>
        <v/>
      </c>
      <c r="C28" t="n">
        <v>29999</v>
      </c>
      <c r="D28">
        <f>'Monthly Tracker'!G28</f>
        <v/>
      </c>
      <c r="E28">
        <f>B28*0.007</f>
        <v/>
      </c>
      <c r="F28">
        <f>C28-E28+D28</f>
        <v/>
      </c>
      <c r="G28">
        <f>B28-F28</f>
        <v/>
      </c>
    </row>
    <row r="29">
      <c r="B29">
        <f>G28</f>
        <v/>
      </c>
      <c r="C29" t="n">
        <v>29999</v>
      </c>
      <c r="D29">
        <f>'Monthly Tracker'!G29</f>
        <v/>
      </c>
      <c r="E29">
        <f>B29*0.007</f>
        <v/>
      </c>
      <c r="F29">
        <f>C29-E29+D29</f>
        <v/>
      </c>
      <c r="G29">
        <f>B29-F29</f>
        <v/>
      </c>
    </row>
    <row r="30">
      <c r="B30">
        <f>G29</f>
        <v/>
      </c>
      <c r="C30" t="n">
        <v>29999</v>
      </c>
      <c r="D30">
        <f>'Monthly Tracker'!G30</f>
        <v/>
      </c>
      <c r="E30">
        <f>B30*0.007</f>
        <v/>
      </c>
      <c r="F30">
        <f>C30-E30+D30</f>
        <v/>
      </c>
      <c r="G30">
        <f>B30-F30</f>
        <v/>
      </c>
    </row>
    <row r="31">
      <c r="B31">
        <f>G30</f>
        <v/>
      </c>
      <c r="C31" t="n">
        <v>29999</v>
      </c>
      <c r="D31">
        <f>'Monthly Tracker'!G31</f>
        <v/>
      </c>
      <c r="E31">
        <f>B31*0.007</f>
        <v/>
      </c>
      <c r="F31">
        <f>C31-E31+D31</f>
        <v/>
      </c>
      <c r="G31">
        <f>B31-F31</f>
        <v/>
      </c>
    </row>
    <row r="32">
      <c r="B32">
        <f>G31</f>
        <v/>
      </c>
      <c r="C32" t="n">
        <v>29999</v>
      </c>
      <c r="D32">
        <f>'Monthly Tracker'!G32</f>
        <v/>
      </c>
      <c r="E32">
        <f>B32*0.007</f>
        <v/>
      </c>
      <c r="F32">
        <f>C32-E32+D32</f>
        <v/>
      </c>
      <c r="G32">
        <f>B32-F32</f>
        <v/>
      </c>
    </row>
    <row r="33">
      <c r="B33">
        <f>G32</f>
        <v/>
      </c>
      <c r="C33" t="n">
        <v>29999</v>
      </c>
      <c r="D33">
        <f>'Monthly Tracker'!G33</f>
        <v/>
      </c>
      <c r="E33">
        <f>B33*0.007</f>
        <v/>
      </c>
      <c r="F33">
        <f>C33-E33+D33</f>
        <v/>
      </c>
      <c r="G33">
        <f>B33-F33</f>
        <v/>
      </c>
    </row>
    <row r="34">
      <c r="B34">
        <f>G33</f>
        <v/>
      </c>
      <c r="C34" t="n">
        <v>29999</v>
      </c>
      <c r="D34">
        <f>'Monthly Tracker'!G34</f>
        <v/>
      </c>
      <c r="E34">
        <f>B34*0.007</f>
        <v/>
      </c>
      <c r="F34">
        <f>C34-E34+D34</f>
        <v/>
      </c>
      <c r="G34">
        <f>B34-F34</f>
        <v/>
      </c>
    </row>
    <row r="35">
      <c r="B35">
        <f>G34</f>
        <v/>
      </c>
      <c r="C35" t="n">
        <v>29999</v>
      </c>
      <c r="D35">
        <f>'Monthly Tracker'!G35</f>
        <v/>
      </c>
      <c r="E35">
        <f>B35*0.007</f>
        <v/>
      </c>
      <c r="F35">
        <f>C35-E35+D35</f>
        <v/>
      </c>
      <c r="G35">
        <f>B35-F35</f>
        <v/>
      </c>
    </row>
    <row r="36">
      <c r="B36">
        <f>G35</f>
        <v/>
      </c>
      <c r="C36" t="n">
        <v>29999</v>
      </c>
      <c r="D36">
        <f>'Monthly Tracker'!G36</f>
        <v/>
      </c>
      <c r="E36">
        <f>B36*0.007</f>
        <v/>
      </c>
      <c r="F36">
        <f>C36-E36+D36</f>
        <v/>
      </c>
      <c r="G36">
        <f>B36-F36</f>
        <v/>
      </c>
    </row>
    <row r="37">
      <c r="B37">
        <f>G36</f>
        <v/>
      </c>
      <c r="C37" t="n">
        <v>29999</v>
      </c>
      <c r="D37">
        <f>'Monthly Tracker'!G37</f>
        <v/>
      </c>
      <c r="E37">
        <f>B37*0.007</f>
        <v/>
      </c>
      <c r="F37">
        <f>C37-E37+D37</f>
        <v/>
      </c>
      <c r="G37">
        <f>B37-F37</f>
        <v/>
      </c>
    </row>
    <row r="38">
      <c r="B38">
        <f>G37</f>
        <v/>
      </c>
      <c r="C38" t="n">
        <v>29999</v>
      </c>
      <c r="D38">
        <f>'Monthly Tracker'!G38</f>
        <v/>
      </c>
      <c r="E38">
        <f>B38*0.007</f>
        <v/>
      </c>
      <c r="F38">
        <f>C38-E38+D38</f>
        <v/>
      </c>
      <c r="G38">
        <f>B38-F38</f>
        <v/>
      </c>
    </row>
    <row r="39">
      <c r="B39">
        <f>G38</f>
        <v/>
      </c>
      <c r="C39" t="n">
        <v>29999</v>
      </c>
      <c r="D39">
        <f>'Monthly Tracker'!G39</f>
        <v/>
      </c>
      <c r="E39">
        <f>B39*0.007</f>
        <v/>
      </c>
      <c r="F39">
        <f>C39-E39+D39</f>
        <v/>
      </c>
      <c r="G39">
        <f>B39-F39</f>
        <v/>
      </c>
    </row>
    <row r="40">
      <c r="B40">
        <f>G39</f>
        <v/>
      </c>
      <c r="C40" t="n">
        <v>29999</v>
      </c>
      <c r="D40">
        <f>'Monthly Tracker'!G40</f>
        <v/>
      </c>
      <c r="E40">
        <f>B40*0.007</f>
        <v/>
      </c>
      <c r="F40">
        <f>C40-E40+D40</f>
        <v/>
      </c>
      <c r="G40">
        <f>B40-F40</f>
        <v/>
      </c>
    </row>
    <row r="41">
      <c r="B41">
        <f>G40</f>
        <v/>
      </c>
      <c r="C41" t="n">
        <v>29999</v>
      </c>
      <c r="D41">
        <f>'Monthly Tracker'!G41</f>
        <v/>
      </c>
      <c r="E41">
        <f>B41*0.007</f>
        <v/>
      </c>
      <c r="F41">
        <f>C41-E41+D41</f>
        <v/>
      </c>
      <c r="G41">
        <f>B41-F41</f>
        <v/>
      </c>
    </row>
    <row r="42">
      <c r="B42">
        <f>G41</f>
        <v/>
      </c>
      <c r="C42" t="n">
        <v>29999</v>
      </c>
      <c r="D42">
        <f>'Monthly Tracker'!G42</f>
        <v/>
      </c>
      <c r="E42">
        <f>B42*0.007</f>
        <v/>
      </c>
      <c r="F42">
        <f>C42-E42+D42</f>
        <v/>
      </c>
      <c r="G42">
        <f>B42-F42</f>
        <v/>
      </c>
    </row>
    <row r="43">
      <c r="B43">
        <f>G42</f>
        <v/>
      </c>
      <c r="C43" t="n">
        <v>29999</v>
      </c>
      <c r="D43">
        <f>'Monthly Tracker'!G43</f>
        <v/>
      </c>
      <c r="E43">
        <f>B43*0.007</f>
        <v/>
      </c>
      <c r="F43">
        <f>C43-E43+D43</f>
        <v/>
      </c>
      <c r="G43">
        <f>B43-F43</f>
        <v/>
      </c>
    </row>
    <row r="44">
      <c r="B44">
        <f>G43</f>
        <v/>
      </c>
      <c r="C44" t="n">
        <v>29999</v>
      </c>
      <c r="D44">
        <f>'Monthly Tracker'!G44</f>
        <v/>
      </c>
      <c r="E44">
        <f>B44*0.007</f>
        <v/>
      </c>
      <c r="F44">
        <f>C44-E44+D44</f>
        <v/>
      </c>
      <c r="G44">
        <f>B44-F44</f>
        <v/>
      </c>
    </row>
    <row r="45">
      <c r="B45">
        <f>G44</f>
        <v/>
      </c>
      <c r="C45" t="n">
        <v>29999</v>
      </c>
      <c r="D45">
        <f>'Monthly Tracker'!G45</f>
        <v/>
      </c>
      <c r="E45">
        <f>B45*0.007</f>
        <v/>
      </c>
      <c r="F45">
        <f>C45-E45+D45</f>
        <v/>
      </c>
      <c r="G45">
        <f>B45-F45</f>
        <v/>
      </c>
    </row>
    <row r="46">
      <c r="B46">
        <f>G45</f>
        <v/>
      </c>
      <c r="C46" t="n">
        <v>29999</v>
      </c>
      <c r="D46">
        <f>'Monthly Tracker'!G46</f>
        <v/>
      </c>
      <c r="E46">
        <f>B46*0.007</f>
        <v/>
      </c>
      <c r="F46">
        <f>C46-E46+D46</f>
        <v/>
      </c>
      <c r="G46">
        <f>B46-F46</f>
        <v/>
      </c>
    </row>
    <row r="47">
      <c r="B47">
        <f>G46</f>
        <v/>
      </c>
      <c r="C47" t="n">
        <v>29999</v>
      </c>
      <c r="D47">
        <f>'Monthly Tracker'!G47</f>
        <v/>
      </c>
      <c r="E47">
        <f>B47*0.007</f>
        <v/>
      </c>
      <c r="F47">
        <f>C47-E47+D47</f>
        <v/>
      </c>
      <c r="G47">
        <f>B47-F47</f>
        <v/>
      </c>
    </row>
    <row r="48">
      <c r="B48">
        <f>G47</f>
        <v/>
      </c>
      <c r="C48" t="n">
        <v>29999</v>
      </c>
      <c r="D48">
        <f>'Monthly Tracker'!G48</f>
        <v/>
      </c>
      <c r="E48">
        <f>B48*0.007</f>
        <v/>
      </c>
      <c r="F48">
        <f>C48-E48+D48</f>
        <v/>
      </c>
      <c r="G48">
        <f>B48-F48</f>
        <v/>
      </c>
    </row>
    <row r="49">
      <c r="B49">
        <f>G48</f>
        <v/>
      </c>
      <c r="C49" t="n">
        <v>29999</v>
      </c>
      <c r="D49">
        <f>'Monthly Tracker'!G49</f>
        <v/>
      </c>
      <c r="E49">
        <f>B49*0.007</f>
        <v/>
      </c>
      <c r="F49">
        <f>C49-E49+D49</f>
        <v/>
      </c>
      <c r="G49">
        <f>B49-F49</f>
        <v/>
      </c>
    </row>
    <row r="50">
      <c r="B50">
        <f>G49</f>
        <v/>
      </c>
      <c r="C50" t="n">
        <v>29999</v>
      </c>
      <c r="D50">
        <f>'Monthly Tracker'!G50</f>
        <v/>
      </c>
      <c r="E50">
        <f>B50*0.007</f>
        <v/>
      </c>
      <c r="F50">
        <f>C50-E50+D50</f>
        <v/>
      </c>
      <c r="G50">
        <f>B50-F50</f>
        <v/>
      </c>
    </row>
    <row r="51">
      <c r="B51">
        <f>G50</f>
        <v/>
      </c>
      <c r="C51" t="n">
        <v>29999</v>
      </c>
      <c r="D51">
        <f>'Monthly Tracker'!G51</f>
        <v/>
      </c>
      <c r="E51">
        <f>B51*0.007</f>
        <v/>
      </c>
      <c r="F51">
        <f>C51-E51+D51</f>
        <v/>
      </c>
      <c r="G51">
        <f>B51-F51</f>
        <v/>
      </c>
    </row>
    <row r="52">
      <c r="B52">
        <f>G51</f>
        <v/>
      </c>
      <c r="C52" t="n">
        <v>29999</v>
      </c>
      <c r="D52">
        <f>'Monthly Tracker'!G52</f>
        <v/>
      </c>
      <c r="E52">
        <f>B52*0.007</f>
        <v/>
      </c>
      <c r="F52">
        <f>C52-E52+D52</f>
        <v/>
      </c>
      <c r="G52">
        <f>B52-F52</f>
        <v/>
      </c>
    </row>
    <row r="53">
      <c r="B53">
        <f>G52</f>
        <v/>
      </c>
      <c r="C53" t="n">
        <v>29999</v>
      </c>
      <c r="D53">
        <f>'Monthly Tracker'!G53</f>
        <v/>
      </c>
      <c r="E53">
        <f>B53*0.007</f>
        <v/>
      </c>
      <c r="F53">
        <f>C53-E53+D53</f>
        <v/>
      </c>
      <c r="G53">
        <f>B53-F53</f>
        <v/>
      </c>
    </row>
    <row r="54">
      <c r="B54">
        <f>G53</f>
        <v/>
      </c>
      <c r="C54" t="n">
        <v>29999</v>
      </c>
      <c r="D54">
        <f>'Monthly Tracker'!G54</f>
        <v/>
      </c>
      <c r="E54">
        <f>B54*0.007</f>
        <v/>
      </c>
      <c r="F54">
        <f>C54-E54+D54</f>
        <v/>
      </c>
      <c r="G54">
        <f>B54-F54</f>
        <v/>
      </c>
    </row>
    <row r="55">
      <c r="B55">
        <f>G54</f>
        <v/>
      </c>
      <c r="C55" t="n">
        <v>29999</v>
      </c>
      <c r="D55">
        <f>'Monthly Tracker'!G55</f>
        <v/>
      </c>
      <c r="E55">
        <f>B55*0.007</f>
        <v/>
      </c>
      <c r="F55">
        <f>C55-E55+D55</f>
        <v/>
      </c>
      <c r="G55">
        <f>B55-F55</f>
        <v/>
      </c>
    </row>
    <row r="56">
      <c r="B56">
        <f>G55</f>
        <v/>
      </c>
      <c r="C56" t="n">
        <v>29999</v>
      </c>
      <c r="D56">
        <f>'Monthly Tracker'!G56</f>
        <v/>
      </c>
      <c r="E56">
        <f>B56*0.007</f>
        <v/>
      </c>
      <c r="F56">
        <f>C56-E56+D56</f>
        <v/>
      </c>
      <c r="G56">
        <f>B56-F56</f>
        <v/>
      </c>
    </row>
    <row r="57">
      <c r="B57">
        <f>G56</f>
        <v/>
      </c>
      <c r="C57" t="n">
        <v>29999</v>
      </c>
      <c r="D57">
        <f>'Monthly Tracker'!G57</f>
        <v/>
      </c>
      <c r="E57">
        <f>B57*0.007</f>
        <v/>
      </c>
      <c r="F57">
        <f>C57-E57+D57</f>
        <v/>
      </c>
      <c r="G57">
        <f>B57-F57</f>
        <v/>
      </c>
    </row>
    <row r="58">
      <c r="B58">
        <f>G57</f>
        <v/>
      </c>
      <c r="C58" t="n">
        <v>29999</v>
      </c>
      <c r="D58">
        <f>'Monthly Tracker'!G58</f>
        <v/>
      </c>
      <c r="E58">
        <f>B58*0.007</f>
        <v/>
      </c>
      <c r="F58">
        <f>C58-E58+D58</f>
        <v/>
      </c>
      <c r="G58">
        <f>B58-F58</f>
        <v/>
      </c>
    </row>
    <row r="59">
      <c r="B59">
        <f>G58</f>
        <v/>
      </c>
      <c r="C59" t="n">
        <v>29999</v>
      </c>
      <c r="D59">
        <f>'Monthly Tracker'!G59</f>
        <v/>
      </c>
      <c r="E59">
        <f>B59*0.007</f>
        <v/>
      </c>
      <c r="F59">
        <f>C59-E59+D59</f>
        <v/>
      </c>
      <c r="G59">
        <f>B59-F59</f>
        <v/>
      </c>
    </row>
    <row r="60">
      <c r="B60">
        <f>G59</f>
        <v/>
      </c>
      <c r="C60" t="n">
        <v>29999</v>
      </c>
      <c r="D60">
        <f>'Monthly Tracker'!G60</f>
        <v/>
      </c>
      <c r="E60">
        <f>B60*0.007</f>
        <v/>
      </c>
      <c r="F60">
        <f>C60-E60+D60</f>
        <v/>
      </c>
      <c r="G60">
        <f>B60-F60</f>
        <v/>
      </c>
    </row>
    <row r="61">
      <c r="B61">
        <f>G60</f>
        <v/>
      </c>
      <c r="C61" t="n">
        <v>29999</v>
      </c>
      <c r="D61">
        <f>'Monthly Tracker'!G61</f>
        <v/>
      </c>
      <c r="E61">
        <f>B61*0.007</f>
        <v/>
      </c>
      <c r="F61">
        <f>C61-E61+D61</f>
        <v/>
      </c>
      <c r="G61">
        <f>B61-F61</f>
        <v/>
      </c>
    </row>
    <row r="62">
      <c r="B62">
        <f>G61</f>
        <v/>
      </c>
      <c r="C62" t="n">
        <v>29999</v>
      </c>
      <c r="D62">
        <f>'Monthly Tracker'!G62</f>
        <v/>
      </c>
      <c r="E62">
        <f>B62*0.007</f>
        <v/>
      </c>
      <c r="F62">
        <f>C62-E62+D62</f>
        <v/>
      </c>
      <c r="G62">
        <f>B62-F62</f>
        <v/>
      </c>
    </row>
    <row r="63">
      <c r="B63">
        <f>G62</f>
        <v/>
      </c>
      <c r="C63" t="n">
        <v>29999</v>
      </c>
      <c r="D63">
        <f>'Monthly Tracker'!G63</f>
        <v/>
      </c>
      <c r="E63">
        <f>B63*0.007</f>
        <v/>
      </c>
      <c r="F63">
        <f>C63-E63+D63</f>
        <v/>
      </c>
      <c r="G63">
        <f>B63-F63</f>
        <v/>
      </c>
    </row>
    <row r="64">
      <c r="B64">
        <f>G63</f>
        <v/>
      </c>
      <c r="C64" t="n">
        <v>29999</v>
      </c>
      <c r="D64">
        <f>'Monthly Tracker'!G64</f>
        <v/>
      </c>
      <c r="E64">
        <f>B64*0.007</f>
        <v/>
      </c>
      <c r="F64">
        <f>C64-E64+D64</f>
        <v/>
      </c>
      <c r="G64">
        <f>B64-F64</f>
        <v/>
      </c>
    </row>
    <row r="65">
      <c r="B65">
        <f>G64</f>
        <v/>
      </c>
      <c r="C65" t="n">
        <v>29999</v>
      </c>
      <c r="D65">
        <f>'Monthly Tracker'!G65</f>
        <v/>
      </c>
      <c r="E65">
        <f>B65*0.007</f>
        <v/>
      </c>
      <c r="F65">
        <f>C65-E65+D65</f>
        <v/>
      </c>
      <c r="G65">
        <f>B65-F65</f>
        <v/>
      </c>
    </row>
    <row r="66">
      <c r="B66">
        <f>G65</f>
        <v/>
      </c>
      <c r="C66" t="n">
        <v>29999</v>
      </c>
      <c r="D66">
        <f>'Monthly Tracker'!G66</f>
        <v/>
      </c>
      <c r="E66">
        <f>B66*0.007</f>
        <v/>
      </c>
      <c r="F66">
        <f>C66-E66+D66</f>
        <v/>
      </c>
      <c r="G66">
        <f>B66-F66</f>
        <v/>
      </c>
    </row>
    <row r="67">
      <c r="B67">
        <f>G66</f>
        <v/>
      </c>
      <c r="C67" t="n">
        <v>29999</v>
      </c>
      <c r="D67">
        <f>'Monthly Tracker'!G67</f>
        <v/>
      </c>
      <c r="E67">
        <f>B67*0.007</f>
        <v/>
      </c>
      <c r="F67">
        <f>C67-E67+D67</f>
        <v/>
      </c>
      <c r="G67">
        <f>B67-F67</f>
        <v/>
      </c>
    </row>
    <row r="68">
      <c r="B68">
        <f>G67</f>
        <v/>
      </c>
      <c r="C68" t="n">
        <v>29999</v>
      </c>
      <c r="D68">
        <f>'Monthly Tracker'!G68</f>
        <v/>
      </c>
      <c r="E68">
        <f>B68*0.007</f>
        <v/>
      </c>
      <c r="F68">
        <f>C68-E68+D68</f>
        <v/>
      </c>
      <c r="G68">
        <f>B68-F68</f>
        <v/>
      </c>
    </row>
    <row r="69">
      <c r="B69">
        <f>G68</f>
        <v/>
      </c>
      <c r="C69" t="n">
        <v>29999</v>
      </c>
      <c r="D69">
        <f>'Monthly Tracker'!G69</f>
        <v/>
      </c>
      <c r="E69">
        <f>B69*0.007</f>
        <v/>
      </c>
      <c r="F69">
        <f>C69-E69+D69</f>
        <v/>
      </c>
      <c r="G69">
        <f>B69-F69</f>
        <v/>
      </c>
    </row>
    <row r="70">
      <c r="B70">
        <f>G69</f>
        <v/>
      </c>
      <c r="C70" t="n">
        <v>29999</v>
      </c>
      <c r="D70">
        <f>'Monthly Tracker'!G70</f>
        <v/>
      </c>
      <c r="E70">
        <f>B70*0.007</f>
        <v/>
      </c>
      <c r="F70">
        <f>C70-E70+D70</f>
        <v/>
      </c>
      <c r="G70">
        <f>B70-F70</f>
        <v/>
      </c>
    </row>
    <row r="71">
      <c r="B71">
        <f>G70</f>
        <v/>
      </c>
      <c r="C71" t="n">
        <v>29999</v>
      </c>
      <c r="D71">
        <f>'Monthly Tracker'!G71</f>
        <v/>
      </c>
      <c r="E71">
        <f>B71*0.007</f>
        <v/>
      </c>
      <c r="F71">
        <f>C71-E71+D71</f>
        <v/>
      </c>
      <c r="G71">
        <f>B71-F71</f>
        <v/>
      </c>
    </row>
    <row r="72">
      <c r="B72">
        <f>G71</f>
        <v/>
      </c>
      <c r="C72" t="n">
        <v>29999</v>
      </c>
      <c r="D72">
        <f>'Monthly Tracker'!G72</f>
        <v/>
      </c>
      <c r="E72">
        <f>B72*0.007</f>
        <v/>
      </c>
      <c r="F72">
        <f>C72-E72+D72</f>
        <v/>
      </c>
      <c r="G72">
        <f>B72-F72</f>
        <v/>
      </c>
    </row>
    <row r="73">
      <c r="B73">
        <f>G72</f>
        <v/>
      </c>
      <c r="C73" t="n">
        <v>29999</v>
      </c>
      <c r="D73">
        <f>'Monthly Tracker'!G73</f>
        <v/>
      </c>
      <c r="E73">
        <f>B73*0.007</f>
        <v/>
      </c>
      <c r="F73">
        <f>C73-E73+D73</f>
        <v/>
      </c>
      <c r="G73">
        <f>B73-F73</f>
        <v/>
      </c>
    </row>
    <row r="74">
      <c r="B74">
        <f>G73</f>
        <v/>
      </c>
      <c r="C74" t="n">
        <v>29999</v>
      </c>
      <c r="D74">
        <f>'Monthly Tracker'!G74</f>
        <v/>
      </c>
      <c r="E74">
        <f>B74*0.007</f>
        <v/>
      </c>
      <c r="F74">
        <f>C74-E74+D74</f>
        <v/>
      </c>
      <c r="G74">
        <f>B74-F74</f>
        <v/>
      </c>
    </row>
    <row r="75">
      <c r="B75">
        <f>G74</f>
        <v/>
      </c>
      <c r="C75" t="n">
        <v>29999</v>
      </c>
      <c r="D75">
        <f>'Monthly Tracker'!G75</f>
        <v/>
      </c>
      <c r="E75">
        <f>B75*0.007</f>
        <v/>
      </c>
      <c r="F75">
        <f>C75-E75+D75</f>
        <v/>
      </c>
      <c r="G75">
        <f>B75-F75</f>
        <v/>
      </c>
    </row>
    <row r="76">
      <c r="B76">
        <f>G75</f>
        <v/>
      </c>
      <c r="C76" t="n">
        <v>29999</v>
      </c>
      <c r="D76">
        <f>'Monthly Tracker'!G76</f>
        <v/>
      </c>
      <c r="E76">
        <f>B76*0.007</f>
        <v/>
      </c>
      <c r="F76">
        <f>C76-E76+D76</f>
        <v/>
      </c>
      <c r="G76">
        <f>B76-F76</f>
        <v/>
      </c>
    </row>
    <row r="77">
      <c r="B77">
        <f>G76</f>
        <v/>
      </c>
      <c r="C77" t="n">
        <v>29999</v>
      </c>
      <c r="D77">
        <f>'Monthly Tracker'!G77</f>
        <v/>
      </c>
      <c r="E77">
        <f>B77*0.007</f>
        <v/>
      </c>
      <c r="F77">
        <f>C77-E77+D77</f>
        <v/>
      </c>
      <c r="G77">
        <f>B77-F77</f>
        <v/>
      </c>
    </row>
    <row r="78">
      <c r="B78">
        <f>G77</f>
        <v/>
      </c>
      <c r="C78" t="n">
        <v>29999</v>
      </c>
      <c r="D78">
        <f>'Monthly Tracker'!G78</f>
        <v/>
      </c>
      <c r="E78">
        <f>B78*0.007</f>
        <v/>
      </c>
      <c r="F78">
        <f>C78-E78+D78</f>
        <v/>
      </c>
      <c r="G78">
        <f>B78-F78</f>
        <v/>
      </c>
    </row>
    <row r="79">
      <c r="B79">
        <f>G78</f>
        <v/>
      </c>
      <c r="C79" t="n">
        <v>29999</v>
      </c>
      <c r="D79">
        <f>'Monthly Tracker'!G79</f>
        <v/>
      </c>
      <c r="E79">
        <f>B79*0.007</f>
        <v/>
      </c>
      <c r="F79">
        <f>C79-E79+D79</f>
        <v/>
      </c>
      <c r="G79">
        <f>B79-F79</f>
        <v/>
      </c>
    </row>
    <row r="80">
      <c r="B80">
        <f>G79</f>
        <v/>
      </c>
      <c r="C80" t="n">
        <v>29999</v>
      </c>
      <c r="D80">
        <f>'Monthly Tracker'!G80</f>
        <v/>
      </c>
      <c r="E80">
        <f>B80*0.007</f>
        <v/>
      </c>
      <c r="F80">
        <f>C80-E80+D80</f>
        <v/>
      </c>
      <c r="G80">
        <f>B80-F80</f>
        <v/>
      </c>
    </row>
    <row r="81">
      <c r="B81">
        <f>G80</f>
        <v/>
      </c>
      <c r="C81" t="n">
        <v>29999</v>
      </c>
      <c r="D81">
        <f>'Monthly Tracker'!G81</f>
        <v/>
      </c>
      <c r="E81">
        <f>B81*0.007</f>
        <v/>
      </c>
      <c r="F81">
        <f>C81-E81+D81</f>
        <v/>
      </c>
      <c r="G81">
        <f>B81-F81</f>
        <v/>
      </c>
    </row>
    <row r="82">
      <c r="B82">
        <f>G81</f>
        <v/>
      </c>
      <c r="C82" t="n">
        <v>29999</v>
      </c>
      <c r="D82">
        <f>'Monthly Tracker'!G82</f>
        <v/>
      </c>
      <c r="E82">
        <f>B82*0.007</f>
        <v/>
      </c>
      <c r="F82">
        <f>C82-E82+D82</f>
        <v/>
      </c>
      <c r="G82">
        <f>B82-F82</f>
        <v/>
      </c>
    </row>
    <row r="83">
      <c r="B83">
        <f>G82</f>
        <v/>
      </c>
      <c r="C83" t="n">
        <v>29999</v>
      </c>
      <c r="D83">
        <f>'Monthly Tracker'!G83</f>
        <v/>
      </c>
      <c r="E83">
        <f>B83*0.007</f>
        <v/>
      </c>
      <c r="F83">
        <f>C83-E83+D83</f>
        <v/>
      </c>
      <c r="G83">
        <f>B83-F83</f>
        <v/>
      </c>
    </row>
    <row r="84">
      <c r="B84">
        <f>G83</f>
        <v/>
      </c>
      <c r="C84" t="n">
        <v>29999</v>
      </c>
      <c r="D84">
        <f>'Monthly Tracker'!G84</f>
        <v/>
      </c>
      <c r="E84">
        <f>B84*0.007</f>
        <v/>
      </c>
      <c r="F84">
        <f>C84-E84+D84</f>
        <v/>
      </c>
      <c r="G84">
        <f>B84-F84</f>
        <v/>
      </c>
    </row>
    <row r="85">
      <c r="B85">
        <f>G84</f>
        <v/>
      </c>
      <c r="C85" t="n">
        <v>29999</v>
      </c>
      <c r="D85">
        <f>'Monthly Tracker'!G85</f>
        <v/>
      </c>
      <c r="E85">
        <f>B85*0.007</f>
        <v/>
      </c>
      <c r="F85">
        <f>C85-E85+D85</f>
        <v/>
      </c>
      <c r="G85">
        <f>B85-F85</f>
        <v/>
      </c>
    </row>
    <row r="86">
      <c r="B86">
        <f>G85</f>
        <v/>
      </c>
      <c r="C86" t="n">
        <v>29999</v>
      </c>
      <c r="D86">
        <f>'Monthly Tracker'!G86</f>
        <v/>
      </c>
      <c r="E86">
        <f>B86*0.007</f>
        <v/>
      </c>
      <c r="F86">
        <f>C86-E86+D86</f>
        <v/>
      </c>
      <c r="G86">
        <f>B86-F86</f>
        <v/>
      </c>
    </row>
    <row r="87">
      <c r="B87">
        <f>G86</f>
        <v/>
      </c>
      <c r="C87" t="n">
        <v>29999</v>
      </c>
      <c r="D87">
        <f>'Monthly Tracker'!G87</f>
        <v/>
      </c>
      <c r="E87">
        <f>B87*0.007</f>
        <v/>
      </c>
      <c r="F87">
        <f>C87-E87+D87</f>
        <v/>
      </c>
      <c r="G87">
        <f>B87-F87</f>
        <v/>
      </c>
    </row>
    <row r="88">
      <c r="B88">
        <f>G87</f>
        <v/>
      </c>
      <c r="C88" t="n">
        <v>29999</v>
      </c>
      <c r="D88">
        <f>'Monthly Tracker'!G88</f>
        <v/>
      </c>
      <c r="E88">
        <f>B88*0.007</f>
        <v/>
      </c>
      <c r="F88">
        <f>C88-E88+D88</f>
        <v/>
      </c>
      <c r="G88">
        <f>B88-F88</f>
        <v/>
      </c>
    </row>
    <row r="89">
      <c r="B89">
        <f>G88</f>
        <v/>
      </c>
      <c r="C89" t="n">
        <v>29999</v>
      </c>
      <c r="D89">
        <f>'Monthly Tracker'!G89</f>
        <v/>
      </c>
      <c r="E89">
        <f>B89*0.007</f>
        <v/>
      </c>
      <c r="F89">
        <f>C89-E89+D89</f>
        <v/>
      </c>
      <c r="G89">
        <f>B89-F89</f>
        <v/>
      </c>
    </row>
    <row r="90">
      <c r="B90">
        <f>G89</f>
        <v/>
      </c>
      <c r="C90" t="n">
        <v>29999</v>
      </c>
      <c r="D90">
        <f>'Monthly Tracker'!G90</f>
        <v/>
      </c>
      <c r="E90">
        <f>B90*0.007</f>
        <v/>
      </c>
      <c r="F90">
        <f>C90-E90+D90</f>
        <v/>
      </c>
      <c r="G90">
        <f>B90-F90</f>
        <v/>
      </c>
    </row>
    <row r="91">
      <c r="B91">
        <f>G90</f>
        <v/>
      </c>
      <c r="C91" t="n">
        <v>29999</v>
      </c>
      <c r="D91">
        <f>'Monthly Tracker'!G91</f>
        <v/>
      </c>
      <c r="E91">
        <f>B91*0.007</f>
        <v/>
      </c>
      <c r="F91">
        <f>C91-E91+D91</f>
        <v/>
      </c>
      <c r="G91">
        <f>B91-F91</f>
        <v/>
      </c>
    </row>
    <row r="92">
      <c r="B92">
        <f>G91</f>
        <v/>
      </c>
      <c r="C92" t="n">
        <v>29999</v>
      </c>
      <c r="D92">
        <f>'Monthly Tracker'!G92</f>
        <v/>
      </c>
      <c r="E92">
        <f>B92*0.007</f>
        <v/>
      </c>
      <c r="F92">
        <f>C92-E92+D92</f>
        <v/>
      </c>
      <c r="G92">
        <f>B92-F92</f>
        <v/>
      </c>
    </row>
    <row r="93">
      <c r="B93">
        <f>G92</f>
        <v/>
      </c>
      <c r="C93" t="n">
        <v>29999</v>
      </c>
      <c r="D93">
        <f>'Monthly Tracker'!G93</f>
        <v/>
      </c>
      <c r="E93">
        <f>B93*0.007</f>
        <v/>
      </c>
      <c r="F93">
        <f>C93-E93+D93</f>
        <v/>
      </c>
      <c r="G93">
        <f>B93-F93</f>
        <v/>
      </c>
    </row>
    <row r="94">
      <c r="B94">
        <f>G93</f>
        <v/>
      </c>
      <c r="C94" t="n">
        <v>29999</v>
      </c>
      <c r="D94">
        <f>'Monthly Tracker'!G94</f>
        <v/>
      </c>
      <c r="E94">
        <f>B94*0.007</f>
        <v/>
      </c>
      <c r="F94">
        <f>C94-E94+D94</f>
        <v/>
      </c>
      <c r="G94">
        <f>B94-F94</f>
        <v/>
      </c>
    </row>
    <row r="95">
      <c r="B95">
        <f>G94</f>
        <v/>
      </c>
      <c r="C95" t="n">
        <v>29999</v>
      </c>
      <c r="D95">
        <f>'Monthly Tracker'!G95</f>
        <v/>
      </c>
      <c r="E95">
        <f>B95*0.007</f>
        <v/>
      </c>
      <c r="F95">
        <f>C95-E95+D95</f>
        <v/>
      </c>
      <c r="G95">
        <f>B95-F95</f>
        <v/>
      </c>
    </row>
    <row r="96">
      <c r="B96">
        <f>G95</f>
        <v/>
      </c>
      <c r="C96" t="n">
        <v>29999</v>
      </c>
      <c r="D96">
        <f>'Monthly Tracker'!G96</f>
        <v/>
      </c>
      <c r="E96">
        <f>B96*0.007</f>
        <v/>
      </c>
      <c r="F96">
        <f>C96-E96+D96</f>
        <v/>
      </c>
      <c r="G96">
        <f>B96-F96</f>
        <v/>
      </c>
    </row>
    <row r="97">
      <c r="B97">
        <f>G96</f>
        <v/>
      </c>
      <c r="C97" t="n">
        <v>29999</v>
      </c>
      <c r="D97">
        <f>'Monthly Tracker'!G97</f>
        <v/>
      </c>
      <c r="E97">
        <f>B97*0.007</f>
        <v/>
      </c>
      <c r="F97">
        <f>C97-E97+D97</f>
        <v/>
      </c>
      <c r="G97">
        <f>B97-F97</f>
        <v/>
      </c>
    </row>
    <row r="98">
      <c r="B98">
        <f>G97</f>
        <v/>
      </c>
      <c r="C98" t="n">
        <v>29999</v>
      </c>
      <c r="D98">
        <f>'Monthly Tracker'!G98</f>
        <v/>
      </c>
      <c r="E98">
        <f>B98*0.007</f>
        <v/>
      </c>
      <c r="F98">
        <f>C98-E98+D98</f>
        <v/>
      </c>
      <c r="G98">
        <f>B98-F98</f>
        <v/>
      </c>
    </row>
    <row r="99">
      <c r="B99">
        <f>G98</f>
        <v/>
      </c>
      <c r="C99" t="n">
        <v>29999</v>
      </c>
      <c r="D99">
        <f>'Monthly Tracker'!G99</f>
        <v/>
      </c>
      <c r="E99">
        <f>B99*0.007</f>
        <v/>
      </c>
      <c r="F99">
        <f>C99-E99+D99</f>
        <v/>
      </c>
      <c r="G99">
        <f>B99-F99</f>
        <v/>
      </c>
    </row>
    <row r="100">
      <c r="B100">
        <f>G99</f>
        <v/>
      </c>
      <c r="C100" t="n">
        <v>29999</v>
      </c>
      <c r="D100">
        <f>'Monthly Tracker'!G100</f>
        <v/>
      </c>
      <c r="E100">
        <f>B100*0.007</f>
        <v/>
      </c>
      <c r="F100">
        <f>C100-E100+D100</f>
        <v/>
      </c>
      <c r="G100">
        <f>B100-F100</f>
        <v/>
      </c>
    </row>
    <row r="101">
      <c r="B101">
        <f>G100</f>
        <v/>
      </c>
      <c r="C101" t="n">
        <v>29999</v>
      </c>
      <c r="D101">
        <f>'Monthly Tracker'!G101</f>
        <v/>
      </c>
      <c r="E101">
        <f>B101*0.007</f>
        <v/>
      </c>
      <c r="F101">
        <f>C101-E101+D101</f>
        <v/>
      </c>
      <c r="G101">
        <f>B101-F101</f>
        <v/>
      </c>
    </row>
    <row r="102">
      <c r="B102">
        <f>G101</f>
        <v/>
      </c>
      <c r="C102" t="n">
        <v>29999</v>
      </c>
      <c r="D102">
        <f>'Monthly Tracker'!G102</f>
        <v/>
      </c>
      <c r="E102">
        <f>B102*0.007</f>
        <v/>
      </c>
      <c r="F102">
        <f>C102-E102+D102</f>
        <v/>
      </c>
      <c r="G102">
        <f>B102-F102</f>
        <v/>
      </c>
    </row>
    <row r="103">
      <c r="B103">
        <f>G102</f>
        <v/>
      </c>
      <c r="C103" t="n">
        <v>29999</v>
      </c>
      <c r="D103">
        <f>'Monthly Tracker'!G103</f>
        <v/>
      </c>
      <c r="E103">
        <f>B103*0.007</f>
        <v/>
      </c>
      <c r="F103">
        <f>C103-E103+D103</f>
        <v/>
      </c>
      <c r="G103">
        <f>B103-F103</f>
        <v/>
      </c>
    </row>
    <row r="104">
      <c r="B104">
        <f>G103</f>
        <v/>
      </c>
      <c r="C104" t="n">
        <v>29999</v>
      </c>
      <c r="D104">
        <f>'Monthly Tracker'!G104</f>
        <v/>
      </c>
      <c r="E104">
        <f>B104*0.007</f>
        <v/>
      </c>
      <c r="F104">
        <f>C104-E104+D104</f>
        <v/>
      </c>
      <c r="G104">
        <f>B104-F104</f>
        <v/>
      </c>
    </row>
    <row r="105">
      <c r="B105">
        <f>G104</f>
        <v/>
      </c>
      <c r="C105" t="n">
        <v>29999</v>
      </c>
      <c r="D105">
        <f>'Monthly Tracker'!G105</f>
        <v/>
      </c>
      <c r="E105">
        <f>B105*0.007</f>
        <v/>
      </c>
      <c r="F105">
        <f>C105-E105+D105</f>
        <v/>
      </c>
      <c r="G105">
        <f>B105-F105</f>
        <v/>
      </c>
    </row>
    <row r="106">
      <c r="B106">
        <f>G105</f>
        <v/>
      </c>
      <c r="C106" t="n">
        <v>29999</v>
      </c>
      <c r="D106">
        <f>'Monthly Tracker'!G106</f>
        <v/>
      </c>
      <c r="E106">
        <f>B106*0.007</f>
        <v/>
      </c>
      <c r="F106">
        <f>C106-E106+D106</f>
        <v/>
      </c>
      <c r="G106">
        <f>B106-F106</f>
        <v/>
      </c>
    </row>
    <row r="107">
      <c r="B107">
        <f>G106</f>
        <v/>
      </c>
      <c r="C107" t="n">
        <v>29999</v>
      </c>
      <c r="D107">
        <f>'Monthly Tracker'!G107</f>
        <v/>
      </c>
      <c r="E107">
        <f>B107*0.007</f>
        <v/>
      </c>
      <c r="F107">
        <f>C107-E107+D107</f>
        <v/>
      </c>
      <c r="G107">
        <f>B107-F107</f>
        <v/>
      </c>
    </row>
    <row r="108">
      <c r="B108">
        <f>G107</f>
        <v/>
      </c>
      <c r="C108" t="n">
        <v>29999</v>
      </c>
      <c r="D108">
        <f>'Monthly Tracker'!G108</f>
        <v/>
      </c>
      <c r="E108">
        <f>B108*0.007</f>
        <v/>
      </c>
      <c r="F108">
        <f>C108-E108+D108</f>
        <v/>
      </c>
      <c r="G108">
        <f>B108-F108</f>
        <v/>
      </c>
    </row>
    <row r="109">
      <c r="B109">
        <f>G108</f>
        <v/>
      </c>
      <c r="C109" t="n">
        <v>29999</v>
      </c>
      <c r="D109">
        <f>'Monthly Tracker'!G109</f>
        <v/>
      </c>
      <c r="E109">
        <f>B109*0.007</f>
        <v/>
      </c>
      <c r="F109">
        <f>C109-E109+D109</f>
        <v/>
      </c>
      <c r="G109">
        <f>B109-F109</f>
        <v/>
      </c>
    </row>
    <row r="110">
      <c r="B110">
        <f>G109</f>
        <v/>
      </c>
      <c r="C110" t="n">
        <v>29999</v>
      </c>
      <c r="D110">
        <f>'Monthly Tracker'!G110</f>
        <v/>
      </c>
      <c r="E110">
        <f>B110*0.007</f>
        <v/>
      </c>
      <c r="F110">
        <f>C110-E110+D110</f>
        <v/>
      </c>
      <c r="G110">
        <f>B110-F110</f>
        <v/>
      </c>
    </row>
    <row r="111">
      <c r="B111">
        <f>G110</f>
        <v/>
      </c>
      <c r="C111" t="n">
        <v>29999</v>
      </c>
      <c r="D111">
        <f>'Monthly Tracker'!G111</f>
        <v/>
      </c>
      <c r="E111">
        <f>B111*0.007</f>
        <v/>
      </c>
      <c r="F111">
        <f>C111-E111+D111</f>
        <v/>
      </c>
      <c r="G111">
        <f>B111-F111</f>
        <v/>
      </c>
    </row>
    <row r="112">
      <c r="B112">
        <f>G111</f>
        <v/>
      </c>
      <c r="C112" t="n">
        <v>29999</v>
      </c>
      <c r="D112">
        <f>'Monthly Tracker'!G112</f>
        <v/>
      </c>
      <c r="E112">
        <f>B112*0.007</f>
        <v/>
      </c>
      <c r="F112">
        <f>C112-E112+D112</f>
        <v/>
      </c>
      <c r="G112">
        <f>B112-F112</f>
        <v/>
      </c>
    </row>
    <row r="113">
      <c r="B113">
        <f>G112</f>
        <v/>
      </c>
      <c r="C113" t="n">
        <v>29999</v>
      </c>
      <c r="D113">
        <f>'Monthly Tracker'!G113</f>
        <v/>
      </c>
      <c r="E113">
        <f>B113*0.007</f>
        <v/>
      </c>
      <c r="F113">
        <f>C113-E113+D113</f>
        <v/>
      </c>
      <c r="G113">
        <f>B113-F113</f>
        <v/>
      </c>
    </row>
    <row r="114">
      <c r="B114">
        <f>G113</f>
        <v/>
      </c>
      <c r="C114" t="n">
        <v>29999</v>
      </c>
      <c r="D114">
        <f>'Monthly Tracker'!G114</f>
        <v/>
      </c>
      <c r="E114">
        <f>B114*0.007</f>
        <v/>
      </c>
      <c r="F114">
        <f>C114-E114+D114</f>
        <v/>
      </c>
      <c r="G114">
        <f>B114-F114</f>
        <v/>
      </c>
    </row>
    <row r="115">
      <c r="B115">
        <f>G114</f>
        <v/>
      </c>
      <c r="C115" t="n">
        <v>29999</v>
      </c>
      <c r="D115">
        <f>'Monthly Tracker'!G115</f>
        <v/>
      </c>
      <c r="E115">
        <f>B115*0.007</f>
        <v/>
      </c>
      <c r="F115">
        <f>C115-E115+D115</f>
        <v/>
      </c>
      <c r="G115">
        <f>B115-F115</f>
        <v/>
      </c>
    </row>
    <row r="116">
      <c r="B116">
        <f>G115</f>
        <v/>
      </c>
      <c r="C116" t="n">
        <v>29999</v>
      </c>
      <c r="D116">
        <f>'Monthly Tracker'!G116</f>
        <v/>
      </c>
      <c r="E116">
        <f>B116*0.007</f>
        <v/>
      </c>
      <c r="F116">
        <f>C116-E116+D116</f>
        <v/>
      </c>
      <c r="G116">
        <f>B116-F116</f>
        <v/>
      </c>
    </row>
    <row r="117">
      <c r="B117">
        <f>G116</f>
        <v/>
      </c>
      <c r="C117" t="n">
        <v>29999</v>
      </c>
      <c r="D117">
        <f>'Monthly Tracker'!G117</f>
        <v/>
      </c>
      <c r="E117">
        <f>B117*0.007</f>
        <v/>
      </c>
      <c r="F117">
        <f>C117-E117+D117</f>
        <v/>
      </c>
      <c r="G117">
        <f>B117-F117</f>
        <v/>
      </c>
    </row>
    <row r="118">
      <c r="B118">
        <f>G117</f>
        <v/>
      </c>
      <c r="C118" t="n">
        <v>29999</v>
      </c>
      <c r="D118">
        <f>'Monthly Tracker'!G118</f>
        <v/>
      </c>
      <c r="E118">
        <f>B118*0.007</f>
        <v/>
      </c>
      <c r="F118">
        <f>C118-E118+D118</f>
        <v/>
      </c>
      <c r="G118">
        <f>B118-F118</f>
        <v/>
      </c>
    </row>
    <row r="119">
      <c r="B119">
        <f>G118</f>
        <v/>
      </c>
      <c r="C119" t="n">
        <v>29999</v>
      </c>
      <c r="D119">
        <f>'Monthly Tracker'!G119</f>
        <v/>
      </c>
      <c r="E119">
        <f>B119*0.007</f>
        <v/>
      </c>
      <c r="F119">
        <f>C119-E119+D119</f>
        <v/>
      </c>
      <c r="G119">
        <f>B119-F119</f>
        <v/>
      </c>
    </row>
    <row r="120">
      <c r="B120">
        <f>G119</f>
        <v/>
      </c>
      <c r="C120" t="n">
        <v>29999</v>
      </c>
      <c r="D120">
        <f>'Monthly Tracker'!G120</f>
        <v/>
      </c>
      <c r="E120">
        <f>B120*0.007</f>
        <v/>
      </c>
      <c r="F120">
        <f>C120-E120+D120</f>
        <v/>
      </c>
      <c r="G120">
        <f>B120-F120</f>
        <v/>
      </c>
    </row>
    <row r="121">
      <c r="B121">
        <f>G120</f>
        <v/>
      </c>
      <c r="C121" t="n">
        <v>29999</v>
      </c>
      <c r="D121">
        <f>'Monthly Tracker'!G121</f>
        <v/>
      </c>
      <c r="E121">
        <f>B121*0.007</f>
        <v/>
      </c>
      <c r="F121">
        <f>C121-E121+D121</f>
        <v/>
      </c>
      <c r="G121">
        <f>B121-F121</f>
        <v/>
      </c>
    </row>
    <row r="122">
      <c r="B122">
        <f>G121</f>
        <v/>
      </c>
      <c r="C122" t="n">
        <v>29999</v>
      </c>
      <c r="D122">
        <f>'Monthly Tracker'!G122</f>
        <v/>
      </c>
      <c r="E122">
        <f>B122*0.007</f>
        <v/>
      </c>
      <c r="F122">
        <f>C122-E122+D122</f>
        <v/>
      </c>
      <c r="G122">
        <f>B122-F122</f>
        <v/>
      </c>
    </row>
    <row r="123">
      <c r="B123">
        <f>G122</f>
        <v/>
      </c>
      <c r="C123" t="n">
        <v>29999</v>
      </c>
      <c r="D123">
        <f>'Monthly Tracker'!G123</f>
        <v/>
      </c>
      <c r="E123">
        <f>B123*0.007</f>
        <v/>
      </c>
      <c r="F123">
        <f>C123-E123+D123</f>
        <v/>
      </c>
      <c r="G123">
        <f>B123-F123</f>
        <v/>
      </c>
    </row>
    <row r="124">
      <c r="B124">
        <f>G123</f>
        <v/>
      </c>
      <c r="C124" t="n">
        <v>29999</v>
      </c>
      <c r="D124">
        <f>'Monthly Tracker'!G124</f>
        <v/>
      </c>
      <c r="E124">
        <f>B124*0.007</f>
        <v/>
      </c>
      <c r="F124">
        <f>C124-E124+D124</f>
        <v/>
      </c>
      <c r="G124">
        <f>B124-F124</f>
        <v/>
      </c>
    </row>
    <row r="125">
      <c r="B125">
        <f>G124</f>
        <v/>
      </c>
      <c r="C125" t="n">
        <v>29999</v>
      </c>
      <c r="D125">
        <f>'Monthly Tracker'!G125</f>
        <v/>
      </c>
      <c r="E125">
        <f>B125*0.007</f>
        <v/>
      </c>
      <c r="F125">
        <f>C125-E125+D125</f>
        <v/>
      </c>
      <c r="G125">
        <f>B125-F125</f>
        <v/>
      </c>
    </row>
    <row r="126">
      <c r="B126">
        <f>G125</f>
        <v/>
      </c>
      <c r="C126" t="n">
        <v>29999</v>
      </c>
      <c r="D126">
        <f>'Monthly Tracker'!G126</f>
        <v/>
      </c>
      <c r="E126">
        <f>B126*0.007</f>
        <v/>
      </c>
      <c r="F126">
        <f>C126-E126+D126</f>
        <v/>
      </c>
      <c r="G126">
        <f>B126-F126</f>
        <v/>
      </c>
    </row>
    <row r="127">
      <c r="B127">
        <f>G126</f>
        <v/>
      </c>
      <c r="C127" t="n">
        <v>29999</v>
      </c>
      <c r="D127">
        <f>'Monthly Tracker'!G127</f>
        <v/>
      </c>
      <c r="E127">
        <f>B127*0.007</f>
        <v/>
      </c>
      <c r="F127">
        <f>C127-E127+D127</f>
        <v/>
      </c>
      <c r="G127">
        <f>B127-F127</f>
        <v/>
      </c>
    </row>
    <row r="128">
      <c r="B128">
        <f>G127</f>
        <v/>
      </c>
      <c r="C128" t="n">
        <v>29999</v>
      </c>
      <c r="D128">
        <f>'Monthly Tracker'!G128</f>
        <v/>
      </c>
      <c r="E128">
        <f>B128*0.007</f>
        <v/>
      </c>
      <c r="F128">
        <f>C128-E128+D128</f>
        <v/>
      </c>
      <c r="G128">
        <f>B128-F128</f>
        <v/>
      </c>
    </row>
    <row r="129">
      <c r="B129">
        <f>G128</f>
        <v/>
      </c>
      <c r="C129" t="n">
        <v>29999</v>
      </c>
      <c r="D129">
        <f>'Monthly Tracker'!G129</f>
        <v/>
      </c>
      <c r="E129">
        <f>B129*0.007</f>
        <v/>
      </c>
      <c r="F129">
        <f>C129-E129+D129</f>
        <v/>
      </c>
      <c r="G129">
        <f>B129-F129</f>
        <v/>
      </c>
    </row>
    <row r="130">
      <c r="B130">
        <f>G129</f>
        <v/>
      </c>
      <c r="C130" t="n">
        <v>29999</v>
      </c>
      <c r="D130">
        <f>'Monthly Tracker'!G130</f>
        <v/>
      </c>
      <c r="E130">
        <f>B130*0.007</f>
        <v/>
      </c>
      <c r="F130">
        <f>C130-E130+D130</f>
        <v/>
      </c>
      <c r="G130">
        <f>B130-F130</f>
        <v/>
      </c>
    </row>
    <row r="131">
      <c r="B131">
        <f>G130</f>
        <v/>
      </c>
      <c r="C131" t="n">
        <v>29999</v>
      </c>
      <c r="D131">
        <f>'Monthly Tracker'!G131</f>
        <v/>
      </c>
      <c r="E131">
        <f>B131*0.007</f>
        <v/>
      </c>
      <c r="F131">
        <f>C131-E131+D131</f>
        <v/>
      </c>
      <c r="G131">
        <f>B131-F131</f>
        <v/>
      </c>
    </row>
    <row r="132">
      <c r="B132">
        <f>G131</f>
        <v/>
      </c>
      <c r="C132" t="n">
        <v>29999</v>
      </c>
      <c r="D132">
        <f>'Monthly Tracker'!G132</f>
        <v/>
      </c>
      <c r="E132">
        <f>B132*0.007</f>
        <v/>
      </c>
      <c r="F132">
        <f>C132-E132+D132</f>
        <v/>
      </c>
      <c r="G132">
        <f>B132-F132</f>
        <v/>
      </c>
    </row>
    <row r="133">
      <c r="B133">
        <f>G132</f>
        <v/>
      </c>
      <c r="C133" t="n">
        <v>29999</v>
      </c>
      <c r="D133">
        <f>'Monthly Tracker'!G133</f>
        <v/>
      </c>
      <c r="E133">
        <f>B133*0.007</f>
        <v/>
      </c>
      <c r="F133">
        <f>C133-E133+D133</f>
        <v/>
      </c>
      <c r="G133">
        <f>B133-F133</f>
        <v/>
      </c>
    </row>
    <row r="134">
      <c r="B134">
        <f>G133</f>
        <v/>
      </c>
      <c r="C134" t="n">
        <v>29999</v>
      </c>
      <c r="D134">
        <f>'Monthly Tracker'!G134</f>
        <v/>
      </c>
      <c r="E134">
        <f>B134*0.007</f>
        <v/>
      </c>
      <c r="F134">
        <f>C134-E134+D134</f>
        <v/>
      </c>
      <c r="G134">
        <f>B134-F134</f>
        <v/>
      </c>
    </row>
    <row r="135">
      <c r="B135">
        <f>G134</f>
        <v/>
      </c>
      <c r="C135" t="n">
        <v>29999</v>
      </c>
      <c r="D135">
        <f>'Monthly Tracker'!G135</f>
        <v/>
      </c>
      <c r="E135">
        <f>B135*0.007</f>
        <v/>
      </c>
      <c r="F135">
        <f>C135-E135+D135</f>
        <v/>
      </c>
      <c r="G135">
        <f>B135-F135</f>
        <v/>
      </c>
    </row>
    <row r="136">
      <c r="B136">
        <f>G135</f>
        <v/>
      </c>
      <c r="C136" t="n">
        <v>29999</v>
      </c>
      <c r="D136">
        <f>'Monthly Tracker'!G136</f>
        <v/>
      </c>
      <c r="E136">
        <f>B136*0.007</f>
        <v/>
      </c>
      <c r="F136">
        <f>C136-E136+D136</f>
        <v/>
      </c>
      <c r="G136">
        <f>B136-F136</f>
        <v/>
      </c>
    </row>
    <row r="137">
      <c r="B137">
        <f>G136</f>
        <v/>
      </c>
      <c r="C137" t="n">
        <v>29999</v>
      </c>
      <c r="D137">
        <f>'Monthly Tracker'!G137</f>
        <v/>
      </c>
      <c r="E137">
        <f>B137*0.007</f>
        <v/>
      </c>
      <c r="F137">
        <f>C137-E137+D137</f>
        <v/>
      </c>
      <c r="G137">
        <f>B137-F137</f>
        <v/>
      </c>
    </row>
    <row r="138">
      <c r="B138">
        <f>G137</f>
        <v/>
      </c>
      <c r="C138" t="n">
        <v>29999</v>
      </c>
      <c r="D138">
        <f>'Monthly Tracker'!G138</f>
        <v/>
      </c>
      <c r="E138">
        <f>B138*0.007</f>
        <v/>
      </c>
      <c r="F138">
        <f>C138-E138+D138</f>
        <v/>
      </c>
      <c r="G138">
        <f>B138-F138</f>
        <v/>
      </c>
    </row>
    <row r="139">
      <c r="B139">
        <f>G138</f>
        <v/>
      </c>
      <c r="C139" t="n">
        <v>29999</v>
      </c>
      <c r="D139">
        <f>'Monthly Tracker'!G139</f>
        <v/>
      </c>
      <c r="E139">
        <f>B139*0.007</f>
        <v/>
      </c>
      <c r="F139">
        <f>C139-E139+D139</f>
        <v/>
      </c>
      <c r="G139">
        <f>B139-F139</f>
        <v/>
      </c>
    </row>
    <row r="140">
      <c r="B140">
        <f>G139</f>
        <v/>
      </c>
      <c r="C140" t="n">
        <v>29999</v>
      </c>
      <c r="D140">
        <f>'Monthly Tracker'!G140</f>
        <v/>
      </c>
      <c r="E140">
        <f>B140*0.007</f>
        <v/>
      </c>
      <c r="F140">
        <f>C140-E140+D140</f>
        <v/>
      </c>
      <c r="G140">
        <f>B140-F140</f>
        <v/>
      </c>
    </row>
    <row r="141">
      <c r="B141">
        <f>G140</f>
        <v/>
      </c>
      <c r="C141" t="n">
        <v>29999</v>
      </c>
      <c r="D141">
        <f>'Monthly Tracker'!G141</f>
        <v/>
      </c>
      <c r="E141">
        <f>B141*0.007</f>
        <v/>
      </c>
      <c r="F141">
        <f>C141-E141+D141</f>
        <v/>
      </c>
      <c r="G141">
        <f>B141-F141</f>
        <v/>
      </c>
    </row>
    <row r="142">
      <c r="B142">
        <f>G141</f>
        <v/>
      </c>
      <c r="C142" t="n">
        <v>29999</v>
      </c>
      <c r="D142">
        <f>'Monthly Tracker'!G142</f>
        <v/>
      </c>
      <c r="E142">
        <f>B142*0.007</f>
        <v/>
      </c>
      <c r="F142">
        <f>C142-E142+D142</f>
        <v/>
      </c>
      <c r="G142">
        <f>B142-F142</f>
        <v/>
      </c>
    </row>
    <row r="143">
      <c r="B143">
        <f>G142</f>
        <v/>
      </c>
      <c r="C143" t="n">
        <v>29999</v>
      </c>
      <c r="D143">
        <f>'Monthly Tracker'!G143</f>
        <v/>
      </c>
      <c r="E143">
        <f>B143*0.007</f>
        <v/>
      </c>
      <c r="F143">
        <f>C143-E143+D143</f>
        <v/>
      </c>
      <c r="G143">
        <f>B143-F143</f>
        <v/>
      </c>
    </row>
    <row r="144">
      <c r="B144">
        <f>G143</f>
        <v/>
      </c>
      <c r="C144" t="n">
        <v>29999</v>
      </c>
      <c r="D144">
        <f>'Monthly Tracker'!G144</f>
        <v/>
      </c>
      <c r="E144">
        <f>B144*0.007</f>
        <v/>
      </c>
      <c r="F144">
        <f>C144-E144+D144</f>
        <v/>
      </c>
      <c r="G144">
        <f>B144-F144</f>
        <v/>
      </c>
    </row>
    <row r="145">
      <c r="B145">
        <f>G144</f>
        <v/>
      </c>
      <c r="C145" t="n">
        <v>29999</v>
      </c>
      <c r="D145">
        <f>'Monthly Tracker'!G145</f>
        <v/>
      </c>
      <c r="E145">
        <f>B145*0.007</f>
        <v/>
      </c>
      <c r="F145">
        <f>C145-E145+D145</f>
        <v/>
      </c>
      <c r="G145">
        <f>B145-F145</f>
        <v/>
      </c>
    </row>
    <row r="146">
      <c r="B146">
        <f>G145</f>
        <v/>
      </c>
      <c r="C146" t="n">
        <v>29999</v>
      </c>
      <c r="D146">
        <f>'Monthly Tracker'!G146</f>
        <v/>
      </c>
      <c r="E146">
        <f>B146*0.007</f>
        <v/>
      </c>
      <c r="F146">
        <f>C146-E146+D146</f>
        <v/>
      </c>
      <c r="G146">
        <f>B146-F146</f>
        <v/>
      </c>
    </row>
    <row r="147">
      <c r="B147">
        <f>G146</f>
        <v/>
      </c>
      <c r="C147" t="n">
        <v>29999</v>
      </c>
      <c r="D147">
        <f>'Monthly Tracker'!G147</f>
        <v/>
      </c>
      <c r="E147">
        <f>B147*0.007</f>
        <v/>
      </c>
      <c r="F147">
        <f>C147-E147+D147</f>
        <v/>
      </c>
      <c r="G147">
        <f>B147-F147</f>
        <v/>
      </c>
    </row>
    <row r="148">
      <c r="B148">
        <f>G147</f>
        <v/>
      </c>
      <c r="C148" t="n">
        <v>29999</v>
      </c>
      <c r="D148">
        <f>'Monthly Tracker'!G148</f>
        <v/>
      </c>
      <c r="E148">
        <f>B148*0.007</f>
        <v/>
      </c>
      <c r="F148">
        <f>C148-E148+D148</f>
        <v/>
      </c>
      <c r="G148">
        <f>B148-F148</f>
        <v/>
      </c>
    </row>
    <row r="149">
      <c r="B149">
        <f>G148</f>
        <v/>
      </c>
      <c r="C149" t="n">
        <v>29999</v>
      </c>
      <c r="D149">
        <f>'Monthly Tracker'!G149</f>
        <v/>
      </c>
      <c r="E149">
        <f>B149*0.007</f>
        <v/>
      </c>
      <c r="F149">
        <f>C149-E149+D149</f>
        <v/>
      </c>
      <c r="G149">
        <f>B149-F149</f>
        <v/>
      </c>
    </row>
    <row r="150">
      <c r="B150">
        <f>G149</f>
        <v/>
      </c>
      <c r="C150" t="n">
        <v>29999</v>
      </c>
      <c r="D150">
        <f>'Monthly Tracker'!G150</f>
        <v/>
      </c>
      <c r="E150">
        <f>B150*0.007</f>
        <v/>
      </c>
      <c r="F150">
        <f>C150-E150+D150</f>
        <v/>
      </c>
      <c r="G150">
        <f>B150-F150</f>
        <v/>
      </c>
    </row>
    <row r="151">
      <c r="B151">
        <f>G150</f>
        <v/>
      </c>
      <c r="C151" t="n">
        <v>29999</v>
      </c>
      <c r="D151">
        <f>'Monthly Tracker'!G151</f>
        <v/>
      </c>
      <c r="E151">
        <f>B151*0.007</f>
        <v/>
      </c>
      <c r="F151">
        <f>C151-E151+D151</f>
        <v/>
      </c>
      <c r="G151">
        <f>B151-F151</f>
        <v/>
      </c>
    </row>
    <row r="152">
      <c r="B152">
        <f>G151</f>
        <v/>
      </c>
      <c r="C152" t="n">
        <v>29999</v>
      </c>
      <c r="D152">
        <f>'Monthly Tracker'!G152</f>
        <v/>
      </c>
      <c r="E152">
        <f>B152*0.007</f>
        <v/>
      </c>
      <c r="F152">
        <f>C152-E152+D152</f>
        <v/>
      </c>
      <c r="G152">
        <f>B152-F152</f>
        <v/>
      </c>
    </row>
    <row r="153">
      <c r="B153">
        <f>G152</f>
        <v/>
      </c>
      <c r="C153" t="n">
        <v>29999</v>
      </c>
      <c r="D153">
        <f>'Monthly Tracker'!G153</f>
        <v/>
      </c>
      <c r="E153">
        <f>B153*0.007</f>
        <v/>
      </c>
      <c r="F153">
        <f>C153-E153+D153</f>
        <v/>
      </c>
      <c r="G153">
        <f>B153-F153</f>
        <v/>
      </c>
    </row>
    <row r="154">
      <c r="B154">
        <f>G153</f>
        <v/>
      </c>
      <c r="C154" t="n">
        <v>29999</v>
      </c>
      <c r="D154">
        <f>'Monthly Tracker'!G154</f>
        <v/>
      </c>
      <c r="E154">
        <f>B154*0.007</f>
        <v/>
      </c>
      <c r="F154">
        <f>C154-E154+D154</f>
        <v/>
      </c>
      <c r="G154">
        <f>B154-F154</f>
        <v/>
      </c>
    </row>
    <row r="155">
      <c r="B155">
        <f>G154</f>
        <v/>
      </c>
      <c r="C155" t="n">
        <v>29999</v>
      </c>
      <c r="D155">
        <f>'Monthly Tracker'!G155</f>
        <v/>
      </c>
      <c r="E155">
        <f>B155*0.007</f>
        <v/>
      </c>
      <c r="F155">
        <f>C155-E155+D155</f>
        <v/>
      </c>
      <c r="G155">
        <f>B155-F155</f>
        <v/>
      </c>
    </row>
    <row r="156">
      <c r="B156">
        <f>G155</f>
        <v/>
      </c>
      <c r="C156" t="n">
        <v>29999</v>
      </c>
      <c r="D156">
        <f>'Monthly Tracker'!G156</f>
        <v/>
      </c>
      <c r="E156">
        <f>B156*0.007</f>
        <v/>
      </c>
      <c r="F156">
        <f>C156-E156+D156</f>
        <v/>
      </c>
      <c r="G156">
        <f>B156-F156</f>
        <v/>
      </c>
    </row>
    <row r="157">
      <c r="B157">
        <f>G156</f>
        <v/>
      </c>
      <c r="C157" t="n">
        <v>29999</v>
      </c>
      <c r="D157">
        <f>'Monthly Tracker'!G157</f>
        <v/>
      </c>
      <c r="E157">
        <f>B157*0.007</f>
        <v/>
      </c>
      <c r="F157">
        <f>C157-E157+D157</f>
        <v/>
      </c>
      <c r="G157">
        <f>B157-F157</f>
        <v/>
      </c>
    </row>
    <row r="158">
      <c r="B158">
        <f>G157</f>
        <v/>
      </c>
      <c r="C158" t="n">
        <v>29999</v>
      </c>
      <c r="D158">
        <f>'Monthly Tracker'!G158</f>
        <v/>
      </c>
      <c r="E158">
        <f>B158*0.007</f>
        <v/>
      </c>
      <c r="F158">
        <f>C158-E158+D158</f>
        <v/>
      </c>
      <c r="G158">
        <f>B158-F158</f>
        <v/>
      </c>
    </row>
    <row r="159">
      <c r="B159">
        <f>G158</f>
        <v/>
      </c>
      <c r="C159" t="n">
        <v>29999</v>
      </c>
      <c r="D159">
        <f>'Monthly Tracker'!G159</f>
        <v/>
      </c>
      <c r="E159">
        <f>B159*0.007</f>
        <v/>
      </c>
      <c r="F159">
        <f>C159-E159+D159</f>
        <v/>
      </c>
      <c r="G159">
        <f>B159-F159</f>
        <v/>
      </c>
    </row>
    <row r="160">
      <c r="B160">
        <f>G159</f>
        <v/>
      </c>
      <c r="C160" t="n">
        <v>29999</v>
      </c>
      <c r="D160">
        <f>'Monthly Tracker'!G160</f>
        <v/>
      </c>
      <c r="E160">
        <f>B160*0.007</f>
        <v/>
      </c>
      <c r="F160">
        <f>C160-E160+D160</f>
        <v/>
      </c>
      <c r="G160">
        <f>B160-F160</f>
        <v/>
      </c>
    </row>
    <row r="161">
      <c r="B161">
        <f>G160</f>
        <v/>
      </c>
      <c r="C161" t="n">
        <v>29999</v>
      </c>
      <c r="D161">
        <f>'Monthly Tracker'!G161</f>
        <v/>
      </c>
      <c r="E161">
        <f>B161*0.007</f>
        <v/>
      </c>
      <c r="F161">
        <f>C161-E161+D161</f>
        <v/>
      </c>
      <c r="G161">
        <f>B161-F161</f>
        <v/>
      </c>
    </row>
    <row r="162">
      <c r="B162">
        <f>G161</f>
        <v/>
      </c>
      <c r="C162" t="n">
        <v>29999</v>
      </c>
      <c r="D162">
        <f>'Monthly Tracker'!G162</f>
        <v/>
      </c>
      <c r="E162">
        <f>B162*0.007</f>
        <v/>
      </c>
      <c r="F162">
        <f>C162-E162+D162</f>
        <v/>
      </c>
      <c r="G162">
        <f>B162-F162</f>
        <v/>
      </c>
    </row>
    <row r="163">
      <c r="B163">
        <f>G162</f>
        <v/>
      </c>
      <c r="C163" t="n">
        <v>29999</v>
      </c>
      <c r="D163">
        <f>'Monthly Tracker'!G163</f>
        <v/>
      </c>
      <c r="E163">
        <f>B163*0.007</f>
        <v/>
      </c>
      <c r="F163">
        <f>C163-E163+D163</f>
        <v/>
      </c>
      <c r="G163">
        <f>B163-F163</f>
        <v/>
      </c>
    </row>
    <row r="164">
      <c r="B164">
        <f>G163</f>
        <v/>
      </c>
      <c r="C164" t="n">
        <v>29999</v>
      </c>
      <c r="D164">
        <f>'Monthly Tracker'!G164</f>
        <v/>
      </c>
      <c r="E164">
        <f>B164*0.007</f>
        <v/>
      </c>
      <c r="F164">
        <f>C164-E164+D164</f>
        <v/>
      </c>
      <c r="G164">
        <f>B164-F164</f>
        <v/>
      </c>
    </row>
    <row r="165">
      <c r="B165">
        <f>G164</f>
        <v/>
      </c>
      <c r="C165" t="n">
        <v>29999</v>
      </c>
      <c r="D165">
        <f>'Monthly Tracker'!G165</f>
        <v/>
      </c>
      <c r="E165">
        <f>B165*0.007</f>
        <v/>
      </c>
      <c r="F165">
        <f>C165-E165+D165</f>
        <v/>
      </c>
      <c r="G165">
        <f>B165-F165</f>
        <v/>
      </c>
    </row>
    <row r="166">
      <c r="B166">
        <f>G165</f>
        <v/>
      </c>
      <c r="C166" t="n">
        <v>29999</v>
      </c>
      <c r="D166">
        <f>'Monthly Tracker'!G166</f>
        <v/>
      </c>
      <c r="E166">
        <f>B166*0.007</f>
        <v/>
      </c>
      <c r="F166">
        <f>C166-E166+D166</f>
        <v/>
      </c>
      <c r="G166">
        <f>B166-F166</f>
        <v/>
      </c>
    </row>
    <row r="167">
      <c r="B167">
        <f>G166</f>
        <v/>
      </c>
      <c r="C167" t="n">
        <v>29999</v>
      </c>
      <c r="D167">
        <f>'Monthly Tracker'!G167</f>
        <v/>
      </c>
      <c r="E167">
        <f>B167*0.007</f>
        <v/>
      </c>
      <c r="F167">
        <f>C167-E167+D167</f>
        <v/>
      </c>
      <c r="G167">
        <f>B167-F167</f>
        <v/>
      </c>
    </row>
    <row r="168">
      <c r="B168">
        <f>G167</f>
        <v/>
      </c>
      <c r="C168" t="n">
        <v>29999</v>
      </c>
      <c r="D168">
        <f>'Monthly Tracker'!G168</f>
        <v/>
      </c>
      <c r="E168">
        <f>B168*0.007</f>
        <v/>
      </c>
      <c r="F168">
        <f>C168-E168+D168</f>
        <v/>
      </c>
      <c r="G168">
        <f>B168-F168</f>
        <v/>
      </c>
    </row>
    <row r="169">
      <c r="B169">
        <f>G168</f>
        <v/>
      </c>
      <c r="C169" t="n">
        <v>29999</v>
      </c>
      <c r="D169">
        <f>'Monthly Tracker'!G169</f>
        <v/>
      </c>
      <c r="E169">
        <f>B169*0.007</f>
        <v/>
      </c>
      <c r="F169">
        <f>C169-E169+D169</f>
        <v/>
      </c>
      <c r="G169">
        <f>B169-F169</f>
        <v/>
      </c>
    </row>
    <row r="170">
      <c r="B170">
        <f>G169</f>
        <v/>
      </c>
      <c r="C170" t="n">
        <v>29999</v>
      </c>
      <c r="D170">
        <f>'Monthly Tracker'!G170</f>
        <v/>
      </c>
      <c r="E170">
        <f>B170*0.007</f>
        <v/>
      </c>
      <c r="F170">
        <f>C170-E170+D170</f>
        <v/>
      </c>
      <c r="G170">
        <f>B170-F170</f>
        <v/>
      </c>
    </row>
    <row r="171">
      <c r="B171">
        <f>G170</f>
        <v/>
      </c>
      <c r="C171" t="n">
        <v>29999</v>
      </c>
      <c r="D171">
        <f>'Monthly Tracker'!G171</f>
        <v/>
      </c>
      <c r="E171">
        <f>B171*0.007</f>
        <v/>
      </c>
      <c r="F171">
        <f>C171-E171+D171</f>
        <v/>
      </c>
      <c r="G171">
        <f>B171-F171</f>
        <v/>
      </c>
    </row>
    <row r="172">
      <c r="B172">
        <f>G171</f>
        <v/>
      </c>
      <c r="C172" t="n">
        <v>29999</v>
      </c>
      <c r="D172">
        <f>'Monthly Tracker'!G172</f>
        <v/>
      </c>
      <c r="E172">
        <f>B172*0.007</f>
        <v/>
      </c>
      <c r="F172">
        <f>C172-E172+D172</f>
        <v/>
      </c>
      <c r="G172">
        <f>B172-F172</f>
        <v/>
      </c>
    </row>
    <row r="173">
      <c r="B173">
        <f>G172</f>
        <v/>
      </c>
      <c r="C173" t="n">
        <v>29999</v>
      </c>
      <c r="D173">
        <f>'Monthly Tracker'!G173</f>
        <v/>
      </c>
      <c r="E173">
        <f>B173*0.007</f>
        <v/>
      </c>
      <c r="F173">
        <f>C173-E173+D173</f>
        <v/>
      </c>
      <c r="G173">
        <f>B173-F173</f>
        <v/>
      </c>
    </row>
    <row r="174">
      <c r="B174">
        <f>G173</f>
        <v/>
      </c>
      <c r="C174" t="n">
        <v>29999</v>
      </c>
      <c r="D174">
        <f>'Monthly Tracker'!G174</f>
        <v/>
      </c>
      <c r="E174">
        <f>B174*0.007</f>
        <v/>
      </c>
      <c r="F174">
        <f>C174-E174+D174</f>
        <v/>
      </c>
      <c r="G174">
        <f>B174-F174</f>
        <v/>
      </c>
    </row>
    <row r="175">
      <c r="B175">
        <f>G174</f>
        <v/>
      </c>
      <c r="C175" t="n">
        <v>29999</v>
      </c>
      <c r="D175">
        <f>'Monthly Tracker'!G175</f>
        <v/>
      </c>
      <c r="E175">
        <f>B175*0.007</f>
        <v/>
      </c>
      <c r="F175">
        <f>C175-E175+D175</f>
        <v/>
      </c>
      <c r="G175">
        <f>B175-F175</f>
        <v/>
      </c>
    </row>
    <row r="176">
      <c r="B176">
        <f>G175</f>
        <v/>
      </c>
      <c r="C176" t="n">
        <v>29999</v>
      </c>
      <c r="D176">
        <f>'Monthly Tracker'!G176</f>
        <v/>
      </c>
      <c r="E176">
        <f>B176*0.007</f>
        <v/>
      </c>
      <c r="F176">
        <f>C176-E176+D176</f>
        <v/>
      </c>
      <c r="G176">
        <f>B176-F176</f>
        <v/>
      </c>
    </row>
    <row r="177">
      <c r="B177">
        <f>G176</f>
        <v/>
      </c>
      <c r="C177" t="n">
        <v>29999</v>
      </c>
      <c r="D177">
        <f>'Monthly Tracker'!G177</f>
        <v/>
      </c>
      <c r="E177">
        <f>B177*0.007</f>
        <v/>
      </c>
      <c r="F177">
        <f>C177-E177+D177</f>
        <v/>
      </c>
      <c r="G177">
        <f>B177-F177</f>
        <v/>
      </c>
    </row>
    <row r="178">
      <c r="B178">
        <f>G177</f>
        <v/>
      </c>
      <c r="C178" t="n">
        <v>29999</v>
      </c>
      <c r="D178">
        <f>'Monthly Tracker'!G178</f>
        <v/>
      </c>
      <c r="E178">
        <f>B178*0.007</f>
        <v/>
      </c>
      <c r="F178">
        <f>C178-E178+D178</f>
        <v/>
      </c>
      <c r="G178">
        <f>B178-F178</f>
        <v/>
      </c>
    </row>
    <row r="179">
      <c r="B179">
        <f>G178</f>
        <v/>
      </c>
      <c r="C179" t="n">
        <v>29999</v>
      </c>
      <c r="D179">
        <f>'Monthly Tracker'!G179</f>
        <v/>
      </c>
      <c r="E179">
        <f>B179*0.007</f>
        <v/>
      </c>
      <c r="F179">
        <f>C179-E179+D179</f>
        <v/>
      </c>
      <c r="G179">
        <f>B179-F179</f>
        <v/>
      </c>
    </row>
    <row r="180">
      <c r="B180">
        <f>G179</f>
        <v/>
      </c>
      <c r="C180" t="n">
        <v>29999</v>
      </c>
      <c r="D180">
        <f>'Monthly Tracker'!G180</f>
        <v/>
      </c>
      <c r="E180">
        <f>B180*0.007</f>
        <v/>
      </c>
      <c r="F180">
        <f>C180-E180+D180</f>
        <v/>
      </c>
      <c r="G180">
        <f>B180-F180</f>
        <v/>
      </c>
    </row>
    <row r="181">
      <c r="B181">
        <f>G180</f>
        <v/>
      </c>
      <c r="C181" t="n">
        <v>29999</v>
      </c>
      <c r="D181">
        <f>'Monthly Tracker'!G181</f>
        <v/>
      </c>
      <c r="E181">
        <f>B181*0.007</f>
        <v/>
      </c>
      <c r="F181">
        <f>C181-E181+D181</f>
        <v/>
      </c>
      <c r="G181">
        <f>B181-F181</f>
        <v/>
      </c>
    </row>
    <row r="182">
      <c r="B182">
        <f>G181</f>
        <v/>
      </c>
      <c r="C182" t="n">
        <v>29999</v>
      </c>
      <c r="D182">
        <f>'Monthly Tracker'!G182</f>
        <v/>
      </c>
      <c r="E182">
        <f>B182*0.007</f>
        <v/>
      </c>
      <c r="F182">
        <f>C182-E182+D182</f>
        <v/>
      </c>
      <c r="G182">
        <f>B182-F182</f>
        <v/>
      </c>
    </row>
    <row r="183">
      <c r="B183">
        <f>G182</f>
        <v/>
      </c>
      <c r="C183" t="n">
        <v>29999</v>
      </c>
      <c r="D183">
        <f>'Monthly Tracker'!G183</f>
        <v/>
      </c>
      <c r="E183">
        <f>B183*0.007</f>
        <v/>
      </c>
      <c r="F183">
        <f>C183-E183+D183</f>
        <v/>
      </c>
      <c r="G183">
        <f>B183-F183</f>
        <v/>
      </c>
    </row>
    <row r="184">
      <c r="B184">
        <f>G183</f>
        <v/>
      </c>
      <c r="C184" t="n">
        <v>29999</v>
      </c>
      <c r="D184">
        <f>'Monthly Tracker'!G184</f>
        <v/>
      </c>
      <c r="E184">
        <f>B184*0.007</f>
        <v/>
      </c>
      <c r="F184">
        <f>C184-E184+D184</f>
        <v/>
      </c>
      <c r="G184">
        <f>B184-F184</f>
        <v/>
      </c>
    </row>
    <row r="185">
      <c r="B185">
        <f>G184</f>
        <v/>
      </c>
      <c r="C185" t="n">
        <v>29999</v>
      </c>
      <c r="D185">
        <f>'Monthly Tracker'!G185</f>
        <v/>
      </c>
      <c r="E185">
        <f>B185*0.007</f>
        <v/>
      </c>
      <c r="F185">
        <f>C185-E185+D185</f>
        <v/>
      </c>
      <c r="G185">
        <f>B185-F185</f>
        <v/>
      </c>
    </row>
    <row r="186">
      <c r="B186">
        <f>G185</f>
        <v/>
      </c>
      <c r="C186" t="n">
        <v>29999</v>
      </c>
      <c r="D186">
        <f>'Monthly Tracker'!G186</f>
        <v/>
      </c>
      <c r="E186">
        <f>B186*0.007</f>
        <v/>
      </c>
      <c r="F186">
        <f>C186-E186+D186</f>
        <v/>
      </c>
      <c r="G186">
        <f>B186-F186</f>
        <v/>
      </c>
    </row>
    <row r="187">
      <c r="B187">
        <f>G186</f>
        <v/>
      </c>
      <c r="C187" t="n">
        <v>29999</v>
      </c>
      <c r="D187">
        <f>'Monthly Tracker'!G187</f>
        <v/>
      </c>
      <c r="E187">
        <f>B187*0.007</f>
        <v/>
      </c>
      <c r="F187">
        <f>C187-E187+D187</f>
        <v/>
      </c>
      <c r="G187">
        <f>B187-F187</f>
        <v/>
      </c>
    </row>
    <row r="188">
      <c r="B188">
        <f>G187</f>
        <v/>
      </c>
      <c r="C188" t="n">
        <v>29999</v>
      </c>
      <c r="D188">
        <f>'Monthly Tracker'!G188</f>
        <v/>
      </c>
      <c r="E188">
        <f>B188*0.007</f>
        <v/>
      </c>
      <c r="F188">
        <f>C188-E188+D188</f>
        <v/>
      </c>
      <c r="G188">
        <f>B188-F188</f>
        <v/>
      </c>
    </row>
    <row r="189">
      <c r="B189">
        <f>G188</f>
        <v/>
      </c>
      <c r="C189" t="n">
        <v>29999</v>
      </c>
      <c r="D189">
        <f>'Monthly Tracker'!G189</f>
        <v/>
      </c>
      <c r="E189">
        <f>B189*0.007</f>
        <v/>
      </c>
      <c r="F189">
        <f>C189-E189+D189</f>
        <v/>
      </c>
      <c r="G189">
        <f>B189-F189</f>
        <v/>
      </c>
    </row>
    <row r="190">
      <c r="B190">
        <f>G189</f>
        <v/>
      </c>
      <c r="C190" t="n">
        <v>29999</v>
      </c>
      <c r="D190">
        <f>'Monthly Tracker'!G190</f>
        <v/>
      </c>
      <c r="E190">
        <f>B190*0.007</f>
        <v/>
      </c>
      <c r="F190">
        <f>C190-E190+D190</f>
        <v/>
      </c>
      <c r="G190">
        <f>B190-F190</f>
        <v/>
      </c>
    </row>
    <row r="191">
      <c r="B191">
        <f>G190</f>
        <v/>
      </c>
      <c r="C191" t="n">
        <v>29999</v>
      </c>
      <c r="D191">
        <f>'Monthly Tracker'!G191</f>
        <v/>
      </c>
      <c r="E191">
        <f>B191*0.007</f>
        <v/>
      </c>
      <c r="F191">
        <f>C191-E191+D191</f>
        <v/>
      </c>
      <c r="G191">
        <f>B191-F191</f>
        <v/>
      </c>
    </row>
    <row r="192">
      <c r="B192">
        <f>G191</f>
        <v/>
      </c>
      <c r="C192" t="n">
        <v>29999</v>
      </c>
      <c r="D192">
        <f>'Monthly Tracker'!G192</f>
        <v/>
      </c>
      <c r="E192">
        <f>B192*0.007</f>
        <v/>
      </c>
      <c r="F192">
        <f>C192-E192+D192</f>
        <v/>
      </c>
      <c r="G192">
        <f>B192-F192</f>
        <v/>
      </c>
    </row>
    <row r="193">
      <c r="B193">
        <f>G192</f>
        <v/>
      </c>
      <c r="C193" t="n">
        <v>29999</v>
      </c>
      <c r="D193">
        <f>'Monthly Tracker'!G193</f>
        <v/>
      </c>
      <c r="E193">
        <f>B193*0.007</f>
        <v/>
      </c>
      <c r="F193">
        <f>C193-E193+D193</f>
        <v/>
      </c>
      <c r="G193">
        <f>B193-F193</f>
        <v/>
      </c>
    </row>
    <row r="194">
      <c r="B194">
        <f>G193</f>
        <v/>
      </c>
      <c r="C194" t="n">
        <v>29999</v>
      </c>
      <c r="D194">
        <f>'Monthly Tracker'!G194</f>
        <v/>
      </c>
      <c r="E194">
        <f>B194*0.007</f>
        <v/>
      </c>
      <c r="F194">
        <f>C194-E194+D194</f>
        <v/>
      </c>
      <c r="G194">
        <f>B194-F194</f>
        <v/>
      </c>
    </row>
    <row r="195">
      <c r="B195">
        <f>G194</f>
        <v/>
      </c>
      <c r="C195" t="n">
        <v>29999</v>
      </c>
      <c r="D195">
        <f>'Monthly Tracker'!G195</f>
        <v/>
      </c>
      <c r="E195">
        <f>B195*0.007</f>
        <v/>
      </c>
      <c r="F195">
        <f>C195-E195+D195</f>
        <v/>
      </c>
      <c r="G195">
        <f>B195-F195</f>
        <v/>
      </c>
    </row>
    <row r="196">
      <c r="B196">
        <f>G195</f>
        <v/>
      </c>
      <c r="C196" t="n">
        <v>29999</v>
      </c>
      <c r="D196">
        <f>'Monthly Tracker'!G196</f>
        <v/>
      </c>
      <c r="E196">
        <f>B196*0.007</f>
        <v/>
      </c>
      <c r="F196">
        <f>C196-E196+D196</f>
        <v/>
      </c>
      <c r="G196">
        <f>B196-F196</f>
        <v/>
      </c>
    </row>
    <row r="197">
      <c r="B197">
        <f>G196</f>
        <v/>
      </c>
      <c r="C197" t="n">
        <v>29999</v>
      </c>
      <c r="D197">
        <f>'Monthly Tracker'!G197</f>
        <v/>
      </c>
      <c r="E197">
        <f>B197*0.007</f>
        <v/>
      </c>
      <c r="F197">
        <f>C197-E197+D197</f>
        <v/>
      </c>
      <c r="G197">
        <f>B197-F197</f>
        <v/>
      </c>
    </row>
    <row r="198">
      <c r="B198">
        <f>G197</f>
        <v/>
      </c>
      <c r="C198" t="n">
        <v>29999</v>
      </c>
      <c r="D198">
        <f>'Monthly Tracker'!G198</f>
        <v/>
      </c>
      <c r="E198">
        <f>B198*0.007</f>
        <v/>
      </c>
      <c r="F198">
        <f>C198-E198+D198</f>
        <v/>
      </c>
      <c r="G198">
        <f>B198-F198</f>
        <v/>
      </c>
    </row>
    <row r="199">
      <c r="B199">
        <f>G198</f>
        <v/>
      </c>
      <c r="C199" t="n">
        <v>29999</v>
      </c>
      <c r="D199">
        <f>'Monthly Tracker'!G199</f>
        <v/>
      </c>
      <c r="E199">
        <f>B199*0.007</f>
        <v/>
      </c>
      <c r="F199">
        <f>C199-E199+D199</f>
        <v/>
      </c>
      <c r="G199">
        <f>B199-F199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SIP</t>
        </is>
      </c>
      <c r="C1" t="inlineStr">
        <is>
          <t>Total Invested</t>
        </is>
      </c>
      <c r="D1" t="inlineStr">
        <is>
          <t>Value</t>
        </is>
      </c>
    </row>
    <row r="2">
      <c r="A2" t="n">
        <v>1</v>
      </c>
      <c r="B2">
        <f>'Monthly Tracker'!F2</f>
        <v/>
      </c>
      <c r="C2">
        <f>SUM(B2:B2)</f>
        <v/>
      </c>
      <c r="D2">
        <f>B2*(1+0.01)^1</f>
        <v/>
      </c>
    </row>
    <row r="3">
      <c r="A3" t="n">
        <v>2</v>
      </c>
      <c r="B3">
        <f>'Monthly Tracker'!F3</f>
        <v/>
      </c>
      <c r="C3">
        <f>SUM(B2:B3)</f>
        <v/>
      </c>
      <c r="D3">
        <f>B3*(1+0.01)^2</f>
        <v/>
      </c>
    </row>
    <row r="4">
      <c r="A4" t="n">
        <v>3</v>
      </c>
      <c r="B4">
        <f>'Monthly Tracker'!F4</f>
        <v/>
      </c>
      <c r="C4">
        <f>SUM(B2:B4)</f>
        <v/>
      </c>
      <c r="D4">
        <f>B4*(1+0.01)^3</f>
        <v/>
      </c>
    </row>
    <row r="5">
      <c r="A5" t="n">
        <v>4</v>
      </c>
      <c r="B5">
        <f>'Monthly Tracker'!F5</f>
        <v/>
      </c>
      <c r="C5">
        <f>SUM(B2:B5)</f>
        <v/>
      </c>
      <c r="D5">
        <f>B5*(1+0.01)^4</f>
        <v/>
      </c>
    </row>
    <row r="6">
      <c r="A6" t="n">
        <v>5</v>
      </c>
      <c r="B6">
        <f>'Monthly Tracker'!F6</f>
        <v/>
      </c>
      <c r="C6">
        <f>SUM(B2:B6)</f>
        <v/>
      </c>
      <c r="D6">
        <f>B6*(1+0.01)^5</f>
        <v/>
      </c>
    </row>
    <row r="7">
      <c r="A7" t="n">
        <v>6</v>
      </c>
      <c r="B7">
        <f>'Monthly Tracker'!F7</f>
        <v/>
      </c>
      <c r="C7">
        <f>SUM(B2:B7)</f>
        <v/>
      </c>
      <c r="D7">
        <f>B7*(1+0.01)^6</f>
        <v/>
      </c>
    </row>
    <row r="8">
      <c r="A8" t="n">
        <v>7</v>
      </c>
      <c r="B8">
        <f>'Monthly Tracker'!F8</f>
        <v/>
      </c>
      <c r="C8">
        <f>SUM(B2:B8)</f>
        <v/>
      </c>
      <c r="D8">
        <f>B8*(1+0.01)^7</f>
        <v/>
      </c>
    </row>
    <row r="9">
      <c r="A9" t="n">
        <v>8</v>
      </c>
      <c r="B9">
        <f>'Monthly Tracker'!F9</f>
        <v/>
      </c>
      <c r="C9">
        <f>SUM(B2:B9)</f>
        <v/>
      </c>
      <c r="D9">
        <f>B9*(1+0.01)^8</f>
        <v/>
      </c>
    </row>
    <row r="10">
      <c r="A10" t="n">
        <v>9</v>
      </c>
      <c r="B10">
        <f>'Monthly Tracker'!F10</f>
        <v/>
      </c>
      <c r="C10">
        <f>SUM(B2:B10)</f>
        <v/>
      </c>
      <c r="D10">
        <f>B10*(1+0.01)^9</f>
        <v/>
      </c>
    </row>
    <row r="11">
      <c r="A11" t="n">
        <v>10</v>
      </c>
      <c r="B11">
        <f>'Monthly Tracker'!F11</f>
        <v/>
      </c>
      <c r="C11">
        <f>SUM(B2:B11)</f>
        <v/>
      </c>
      <c r="D11">
        <f>B11*(1+0.01)^10</f>
        <v/>
      </c>
    </row>
    <row r="12">
      <c r="A12" t="n">
        <v>11</v>
      </c>
      <c r="B12">
        <f>'Monthly Tracker'!F12</f>
        <v/>
      </c>
      <c r="C12">
        <f>SUM(B2:B12)</f>
        <v/>
      </c>
      <c r="D12">
        <f>B12*(1+0.01)^11</f>
        <v/>
      </c>
    </row>
    <row r="13">
      <c r="A13" t="n">
        <v>12</v>
      </c>
      <c r="B13">
        <f>'Monthly Tracker'!F13</f>
        <v/>
      </c>
      <c r="C13">
        <f>SUM(B2:B13)</f>
        <v/>
      </c>
      <c r="D13">
        <f>B13*(1+0.01)^12</f>
        <v/>
      </c>
    </row>
    <row r="14">
      <c r="A14" t="n">
        <v>13</v>
      </c>
      <c r="B14">
        <f>'Monthly Tracker'!F14</f>
        <v/>
      </c>
      <c r="C14">
        <f>SUM(B2:B14)</f>
        <v/>
      </c>
      <c r="D14">
        <f>B14*(1+0.01)^13</f>
        <v/>
      </c>
    </row>
    <row r="15">
      <c r="A15" t="n">
        <v>14</v>
      </c>
      <c r="B15">
        <f>'Monthly Tracker'!F15</f>
        <v/>
      </c>
      <c r="C15">
        <f>SUM(B2:B15)</f>
        <v/>
      </c>
      <c r="D15">
        <f>B15*(1+0.01)^14</f>
        <v/>
      </c>
    </row>
    <row r="16">
      <c r="A16" t="n">
        <v>15</v>
      </c>
      <c r="B16">
        <f>'Monthly Tracker'!F16</f>
        <v/>
      </c>
      <c r="C16">
        <f>SUM(B2:B16)</f>
        <v/>
      </c>
      <c r="D16">
        <f>B16*(1+0.01)^15</f>
        <v/>
      </c>
    </row>
    <row r="17">
      <c r="A17" t="n">
        <v>16</v>
      </c>
      <c r="B17">
        <f>'Monthly Tracker'!F17</f>
        <v/>
      </c>
      <c r="C17">
        <f>SUM(B2:B17)</f>
        <v/>
      </c>
      <c r="D17">
        <f>B17*(1+0.01)^16</f>
        <v/>
      </c>
    </row>
    <row r="18">
      <c r="A18" t="n">
        <v>17</v>
      </c>
      <c r="B18">
        <f>'Monthly Tracker'!F18</f>
        <v/>
      </c>
      <c r="C18">
        <f>SUM(B2:B18)</f>
        <v/>
      </c>
      <c r="D18">
        <f>B18*(1+0.01)^17</f>
        <v/>
      </c>
    </row>
    <row r="19">
      <c r="A19" t="n">
        <v>18</v>
      </c>
      <c r="B19">
        <f>'Monthly Tracker'!F19</f>
        <v/>
      </c>
      <c r="C19">
        <f>SUM(B2:B19)</f>
        <v/>
      </c>
      <c r="D19">
        <f>B19*(1+0.01)^18</f>
        <v/>
      </c>
    </row>
    <row r="20">
      <c r="A20" t="n">
        <v>19</v>
      </c>
      <c r="B20">
        <f>'Monthly Tracker'!F20</f>
        <v/>
      </c>
      <c r="C20">
        <f>SUM(B2:B20)</f>
        <v/>
      </c>
      <c r="D20">
        <f>B20*(1+0.01)^19</f>
        <v/>
      </c>
    </row>
    <row r="21">
      <c r="A21" t="n">
        <v>20</v>
      </c>
      <c r="B21">
        <f>'Monthly Tracker'!F21</f>
        <v/>
      </c>
      <c r="C21">
        <f>SUM(B2:B21)</f>
        <v/>
      </c>
      <c r="D21">
        <f>B21*(1+0.01)^20</f>
        <v/>
      </c>
    </row>
    <row r="22">
      <c r="A22" t="n">
        <v>21</v>
      </c>
      <c r="B22">
        <f>'Monthly Tracker'!F22</f>
        <v/>
      </c>
      <c r="C22">
        <f>SUM(B2:B22)</f>
        <v/>
      </c>
      <c r="D22">
        <f>B22*(1+0.01)^21</f>
        <v/>
      </c>
    </row>
    <row r="23">
      <c r="A23" t="n">
        <v>22</v>
      </c>
      <c r="B23">
        <f>'Monthly Tracker'!F23</f>
        <v/>
      </c>
      <c r="C23">
        <f>SUM(B2:B23)</f>
        <v/>
      </c>
      <c r="D23">
        <f>B23*(1+0.01)^22</f>
        <v/>
      </c>
    </row>
    <row r="24">
      <c r="A24" t="n">
        <v>23</v>
      </c>
      <c r="B24">
        <f>'Monthly Tracker'!F24</f>
        <v/>
      </c>
      <c r="C24">
        <f>SUM(B2:B24)</f>
        <v/>
      </c>
      <c r="D24">
        <f>B24*(1+0.01)^23</f>
        <v/>
      </c>
    </row>
    <row r="25">
      <c r="A25" t="n">
        <v>24</v>
      </c>
      <c r="B25">
        <f>'Monthly Tracker'!F25</f>
        <v/>
      </c>
      <c r="C25">
        <f>SUM(B2:B25)</f>
        <v/>
      </c>
      <c r="D25">
        <f>B25*(1+0.01)^24</f>
        <v/>
      </c>
    </row>
    <row r="26">
      <c r="A26" t="n">
        <v>25</v>
      </c>
      <c r="B26">
        <f>'Monthly Tracker'!F26</f>
        <v/>
      </c>
      <c r="C26">
        <f>SUM(B2:B26)</f>
        <v/>
      </c>
      <c r="D26">
        <f>B26*(1+0.01)^25</f>
        <v/>
      </c>
    </row>
    <row r="27">
      <c r="A27" t="n">
        <v>26</v>
      </c>
      <c r="B27">
        <f>'Monthly Tracker'!F27</f>
        <v/>
      </c>
      <c r="C27">
        <f>SUM(B2:B27)</f>
        <v/>
      </c>
      <c r="D27">
        <f>B27*(1+0.01)^26</f>
        <v/>
      </c>
    </row>
    <row r="28">
      <c r="A28" t="n">
        <v>27</v>
      </c>
      <c r="B28">
        <f>'Monthly Tracker'!F28</f>
        <v/>
      </c>
      <c r="C28">
        <f>SUM(B2:B28)</f>
        <v/>
      </c>
      <c r="D28">
        <f>B28*(1+0.01)^27</f>
        <v/>
      </c>
    </row>
    <row r="29">
      <c r="A29" t="n">
        <v>28</v>
      </c>
      <c r="B29">
        <f>'Monthly Tracker'!F29</f>
        <v/>
      </c>
      <c r="C29">
        <f>SUM(B2:B29)</f>
        <v/>
      </c>
      <c r="D29">
        <f>B29*(1+0.01)^28</f>
        <v/>
      </c>
    </row>
    <row r="30">
      <c r="A30" t="n">
        <v>29</v>
      </c>
      <c r="B30">
        <f>'Monthly Tracker'!F30</f>
        <v/>
      </c>
      <c r="C30">
        <f>SUM(B2:B30)</f>
        <v/>
      </c>
      <c r="D30">
        <f>B30*(1+0.01)^29</f>
        <v/>
      </c>
    </row>
    <row r="31">
      <c r="A31" t="n">
        <v>30</v>
      </c>
      <c r="B31">
        <f>'Monthly Tracker'!F31</f>
        <v/>
      </c>
      <c r="C31">
        <f>SUM(B2:B31)</f>
        <v/>
      </c>
      <c r="D31">
        <f>B31*(1+0.01)^30</f>
        <v/>
      </c>
    </row>
    <row r="32">
      <c r="A32" t="n">
        <v>31</v>
      </c>
      <c r="B32">
        <f>'Monthly Tracker'!F32</f>
        <v/>
      </c>
      <c r="C32">
        <f>SUM(B2:B32)</f>
        <v/>
      </c>
      <c r="D32">
        <f>B32*(1+0.01)^31</f>
        <v/>
      </c>
    </row>
    <row r="33">
      <c r="A33" t="n">
        <v>32</v>
      </c>
      <c r="B33">
        <f>'Monthly Tracker'!F33</f>
        <v/>
      </c>
      <c r="C33">
        <f>SUM(B2:B33)</f>
        <v/>
      </c>
      <c r="D33">
        <f>B33*(1+0.01)^32</f>
        <v/>
      </c>
    </row>
    <row r="34">
      <c r="A34" t="n">
        <v>33</v>
      </c>
      <c r="B34">
        <f>'Monthly Tracker'!F34</f>
        <v/>
      </c>
      <c r="C34">
        <f>SUM(B2:B34)</f>
        <v/>
      </c>
      <c r="D34">
        <f>B34*(1+0.01)^33</f>
        <v/>
      </c>
    </row>
    <row r="35">
      <c r="A35" t="n">
        <v>34</v>
      </c>
      <c r="B35">
        <f>'Monthly Tracker'!F35</f>
        <v/>
      </c>
      <c r="C35">
        <f>SUM(B2:B35)</f>
        <v/>
      </c>
      <c r="D35">
        <f>B35*(1+0.01)^34</f>
        <v/>
      </c>
    </row>
    <row r="36">
      <c r="A36" t="n">
        <v>35</v>
      </c>
      <c r="B36">
        <f>'Monthly Tracker'!F36</f>
        <v/>
      </c>
      <c r="C36">
        <f>SUM(B2:B36)</f>
        <v/>
      </c>
      <c r="D36">
        <f>B36*(1+0.01)^35</f>
        <v/>
      </c>
    </row>
    <row r="37">
      <c r="A37" t="n">
        <v>36</v>
      </c>
      <c r="B37">
        <f>'Monthly Tracker'!F37</f>
        <v/>
      </c>
      <c r="C37">
        <f>SUM(B2:B37)</f>
        <v/>
      </c>
      <c r="D37">
        <f>B37*(1+0.01)^36</f>
        <v/>
      </c>
    </row>
    <row r="38">
      <c r="A38" t="n">
        <v>37</v>
      </c>
      <c r="B38">
        <f>'Monthly Tracker'!F38</f>
        <v/>
      </c>
      <c r="C38">
        <f>SUM(B2:B38)</f>
        <v/>
      </c>
      <c r="D38">
        <f>B38*(1+0.01)^37</f>
        <v/>
      </c>
    </row>
    <row r="39">
      <c r="A39" t="n">
        <v>38</v>
      </c>
      <c r="B39">
        <f>'Monthly Tracker'!F39</f>
        <v/>
      </c>
      <c r="C39">
        <f>SUM(B2:B39)</f>
        <v/>
      </c>
      <c r="D39">
        <f>B39*(1+0.01)^38</f>
        <v/>
      </c>
    </row>
    <row r="40">
      <c r="A40" t="n">
        <v>39</v>
      </c>
      <c r="B40">
        <f>'Monthly Tracker'!F40</f>
        <v/>
      </c>
      <c r="C40">
        <f>SUM(B2:B40)</f>
        <v/>
      </c>
      <c r="D40">
        <f>B40*(1+0.01)^39</f>
        <v/>
      </c>
    </row>
    <row r="41">
      <c r="A41" t="n">
        <v>40</v>
      </c>
      <c r="B41">
        <f>'Monthly Tracker'!F41</f>
        <v/>
      </c>
      <c r="C41">
        <f>SUM(B2:B41)</f>
        <v/>
      </c>
      <c r="D41">
        <f>B41*(1+0.01)^40</f>
        <v/>
      </c>
    </row>
    <row r="42">
      <c r="A42" t="n">
        <v>41</v>
      </c>
      <c r="B42">
        <f>'Monthly Tracker'!F42</f>
        <v/>
      </c>
      <c r="C42">
        <f>SUM(B2:B42)</f>
        <v/>
      </c>
      <c r="D42">
        <f>B42*(1+0.01)^41</f>
        <v/>
      </c>
    </row>
    <row r="43">
      <c r="A43" t="n">
        <v>42</v>
      </c>
      <c r="B43">
        <f>'Monthly Tracker'!F43</f>
        <v/>
      </c>
      <c r="C43">
        <f>SUM(B2:B43)</f>
        <v/>
      </c>
      <c r="D43">
        <f>B43*(1+0.01)^42</f>
        <v/>
      </c>
    </row>
    <row r="44">
      <c r="A44" t="n">
        <v>43</v>
      </c>
      <c r="B44">
        <f>'Monthly Tracker'!F44</f>
        <v/>
      </c>
      <c r="C44">
        <f>SUM(B2:B44)</f>
        <v/>
      </c>
      <c r="D44">
        <f>B44*(1+0.01)^43</f>
        <v/>
      </c>
    </row>
    <row r="45">
      <c r="A45" t="n">
        <v>44</v>
      </c>
      <c r="B45">
        <f>'Monthly Tracker'!F45</f>
        <v/>
      </c>
      <c r="C45">
        <f>SUM(B2:B45)</f>
        <v/>
      </c>
      <c r="D45">
        <f>B45*(1+0.01)^44</f>
        <v/>
      </c>
    </row>
    <row r="46">
      <c r="A46" t="n">
        <v>45</v>
      </c>
      <c r="B46">
        <f>'Monthly Tracker'!F46</f>
        <v/>
      </c>
      <c r="C46">
        <f>SUM(B2:B46)</f>
        <v/>
      </c>
      <c r="D46">
        <f>B46*(1+0.01)^45</f>
        <v/>
      </c>
    </row>
    <row r="47">
      <c r="A47" t="n">
        <v>46</v>
      </c>
      <c r="B47">
        <f>'Monthly Tracker'!F47</f>
        <v/>
      </c>
      <c r="C47">
        <f>SUM(B2:B47)</f>
        <v/>
      </c>
      <c r="D47">
        <f>B47*(1+0.01)^46</f>
        <v/>
      </c>
    </row>
    <row r="48">
      <c r="A48" t="n">
        <v>47</v>
      </c>
      <c r="B48">
        <f>'Monthly Tracker'!F48</f>
        <v/>
      </c>
      <c r="C48">
        <f>SUM(B2:B48)</f>
        <v/>
      </c>
      <c r="D48">
        <f>B48*(1+0.01)^47</f>
        <v/>
      </c>
    </row>
    <row r="49">
      <c r="A49" t="n">
        <v>48</v>
      </c>
      <c r="B49">
        <f>'Monthly Tracker'!F49</f>
        <v/>
      </c>
      <c r="C49">
        <f>SUM(B2:B49)</f>
        <v/>
      </c>
      <c r="D49">
        <f>B49*(1+0.01)^48</f>
        <v/>
      </c>
    </row>
    <row r="50">
      <c r="A50" t="n">
        <v>49</v>
      </c>
      <c r="B50">
        <f>'Monthly Tracker'!F50</f>
        <v/>
      </c>
      <c r="C50">
        <f>SUM(B2:B50)</f>
        <v/>
      </c>
      <c r="D50">
        <f>B50*(1+0.01)^49</f>
        <v/>
      </c>
    </row>
    <row r="51">
      <c r="A51" t="n">
        <v>50</v>
      </c>
      <c r="B51">
        <f>'Monthly Tracker'!F51</f>
        <v/>
      </c>
      <c r="C51">
        <f>SUM(B2:B51)</f>
        <v/>
      </c>
      <c r="D51">
        <f>B51*(1+0.01)^50</f>
        <v/>
      </c>
    </row>
    <row r="52">
      <c r="A52" t="n">
        <v>51</v>
      </c>
      <c r="B52">
        <f>'Monthly Tracker'!F52</f>
        <v/>
      </c>
      <c r="C52">
        <f>SUM(B2:B52)</f>
        <v/>
      </c>
      <c r="D52">
        <f>B52*(1+0.01)^51</f>
        <v/>
      </c>
    </row>
    <row r="53">
      <c r="A53" t="n">
        <v>52</v>
      </c>
      <c r="B53">
        <f>'Monthly Tracker'!F53</f>
        <v/>
      </c>
      <c r="C53">
        <f>SUM(B2:B53)</f>
        <v/>
      </c>
      <c r="D53">
        <f>B53*(1+0.01)^52</f>
        <v/>
      </c>
    </row>
    <row r="54">
      <c r="A54" t="n">
        <v>53</v>
      </c>
      <c r="B54">
        <f>'Monthly Tracker'!F54</f>
        <v/>
      </c>
      <c r="C54">
        <f>SUM(B2:B54)</f>
        <v/>
      </c>
      <c r="D54">
        <f>B54*(1+0.01)^53</f>
        <v/>
      </c>
    </row>
    <row r="55">
      <c r="A55" t="n">
        <v>54</v>
      </c>
      <c r="B55">
        <f>'Monthly Tracker'!F55</f>
        <v/>
      </c>
      <c r="C55">
        <f>SUM(B2:B55)</f>
        <v/>
      </c>
      <c r="D55">
        <f>B55*(1+0.01)^54</f>
        <v/>
      </c>
    </row>
    <row r="56">
      <c r="A56" t="n">
        <v>55</v>
      </c>
      <c r="B56">
        <f>'Monthly Tracker'!F56</f>
        <v/>
      </c>
      <c r="C56">
        <f>SUM(B2:B56)</f>
        <v/>
      </c>
      <c r="D56">
        <f>B56*(1+0.01)^55</f>
        <v/>
      </c>
    </row>
    <row r="57">
      <c r="A57" t="n">
        <v>56</v>
      </c>
      <c r="B57">
        <f>'Monthly Tracker'!F57</f>
        <v/>
      </c>
      <c r="C57">
        <f>SUM(B2:B57)</f>
        <v/>
      </c>
      <c r="D57">
        <f>B57*(1+0.01)^56</f>
        <v/>
      </c>
    </row>
    <row r="58">
      <c r="A58" t="n">
        <v>57</v>
      </c>
      <c r="B58">
        <f>'Monthly Tracker'!F58</f>
        <v/>
      </c>
      <c r="C58">
        <f>SUM(B2:B58)</f>
        <v/>
      </c>
      <c r="D58">
        <f>B58*(1+0.01)^57</f>
        <v/>
      </c>
    </row>
    <row r="59">
      <c r="A59" t="n">
        <v>58</v>
      </c>
      <c r="B59">
        <f>'Monthly Tracker'!F59</f>
        <v/>
      </c>
      <c r="C59">
        <f>SUM(B2:B59)</f>
        <v/>
      </c>
      <c r="D59">
        <f>B59*(1+0.01)^58</f>
        <v/>
      </c>
    </row>
    <row r="60">
      <c r="A60" t="n">
        <v>59</v>
      </c>
      <c r="B60">
        <f>'Monthly Tracker'!F60</f>
        <v/>
      </c>
      <c r="C60">
        <f>SUM(B2:B60)</f>
        <v/>
      </c>
      <c r="D60">
        <f>B60*(1+0.01)^59</f>
        <v/>
      </c>
    </row>
    <row r="61">
      <c r="A61" t="n">
        <v>60</v>
      </c>
      <c r="B61">
        <f>'Monthly Tracker'!F61</f>
        <v/>
      </c>
      <c r="C61">
        <f>SUM(B2:B61)</f>
        <v/>
      </c>
      <c r="D61">
        <f>B61*(1+0.01)^60</f>
        <v/>
      </c>
    </row>
    <row r="62">
      <c r="A62" t="n">
        <v>61</v>
      </c>
      <c r="B62">
        <f>'Monthly Tracker'!F62</f>
        <v/>
      </c>
      <c r="C62">
        <f>SUM(B2:B62)</f>
        <v/>
      </c>
      <c r="D62">
        <f>B62*(1+0.01)^61</f>
        <v/>
      </c>
    </row>
    <row r="63">
      <c r="A63" t="n">
        <v>62</v>
      </c>
      <c r="B63">
        <f>'Monthly Tracker'!F63</f>
        <v/>
      </c>
      <c r="C63">
        <f>SUM(B2:B63)</f>
        <v/>
      </c>
      <c r="D63">
        <f>B63*(1+0.01)^62</f>
        <v/>
      </c>
    </row>
    <row r="64">
      <c r="A64" t="n">
        <v>63</v>
      </c>
      <c r="B64">
        <f>'Monthly Tracker'!F64</f>
        <v/>
      </c>
      <c r="C64">
        <f>SUM(B2:B64)</f>
        <v/>
      </c>
      <c r="D64">
        <f>B64*(1+0.01)^63</f>
        <v/>
      </c>
    </row>
    <row r="65">
      <c r="A65" t="n">
        <v>64</v>
      </c>
      <c r="B65">
        <f>'Monthly Tracker'!F65</f>
        <v/>
      </c>
      <c r="C65">
        <f>SUM(B2:B65)</f>
        <v/>
      </c>
      <c r="D65">
        <f>B65*(1+0.01)^64</f>
        <v/>
      </c>
    </row>
    <row r="66">
      <c r="A66" t="n">
        <v>65</v>
      </c>
      <c r="B66">
        <f>'Monthly Tracker'!F66</f>
        <v/>
      </c>
      <c r="C66">
        <f>SUM(B2:B66)</f>
        <v/>
      </c>
      <c r="D66">
        <f>B66*(1+0.01)^65</f>
        <v/>
      </c>
    </row>
    <row r="67">
      <c r="A67" t="n">
        <v>66</v>
      </c>
      <c r="B67">
        <f>'Monthly Tracker'!F67</f>
        <v/>
      </c>
      <c r="C67">
        <f>SUM(B2:B67)</f>
        <v/>
      </c>
      <c r="D67">
        <f>B67*(1+0.01)^66</f>
        <v/>
      </c>
    </row>
    <row r="68">
      <c r="A68" t="n">
        <v>67</v>
      </c>
      <c r="B68">
        <f>'Monthly Tracker'!F68</f>
        <v/>
      </c>
      <c r="C68">
        <f>SUM(B2:B68)</f>
        <v/>
      </c>
      <c r="D68">
        <f>B68*(1+0.01)^67</f>
        <v/>
      </c>
    </row>
    <row r="69">
      <c r="A69" t="n">
        <v>68</v>
      </c>
      <c r="B69">
        <f>'Monthly Tracker'!F69</f>
        <v/>
      </c>
      <c r="C69">
        <f>SUM(B2:B69)</f>
        <v/>
      </c>
      <c r="D69">
        <f>B69*(1+0.01)^68</f>
        <v/>
      </c>
    </row>
    <row r="70">
      <c r="A70" t="n">
        <v>69</v>
      </c>
      <c r="B70">
        <f>'Monthly Tracker'!F70</f>
        <v/>
      </c>
      <c r="C70">
        <f>SUM(B2:B70)</f>
        <v/>
      </c>
      <c r="D70">
        <f>B70*(1+0.01)^69</f>
        <v/>
      </c>
    </row>
    <row r="71">
      <c r="A71" t="n">
        <v>70</v>
      </c>
      <c r="B71">
        <f>'Monthly Tracker'!F71</f>
        <v/>
      </c>
      <c r="C71">
        <f>SUM(B2:B71)</f>
        <v/>
      </c>
      <c r="D71">
        <f>B71*(1+0.01)^70</f>
        <v/>
      </c>
    </row>
    <row r="72">
      <c r="A72" t="n">
        <v>71</v>
      </c>
      <c r="B72">
        <f>'Monthly Tracker'!F72</f>
        <v/>
      </c>
      <c r="C72">
        <f>SUM(B2:B72)</f>
        <v/>
      </c>
      <c r="D72">
        <f>B72*(1+0.01)^71</f>
        <v/>
      </c>
    </row>
    <row r="73">
      <c r="A73" t="n">
        <v>72</v>
      </c>
      <c r="B73">
        <f>'Monthly Tracker'!F73</f>
        <v/>
      </c>
      <c r="C73">
        <f>SUM(B2:B73)</f>
        <v/>
      </c>
      <c r="D73">
        <f>B73*(1+0.01)^72</f>
        <v/>
      </c>
    </row>
    <row r="74">
      <c r="A74" t="n">
        <v>73</v>
      </c>
      <c r="B74">
        <f>'Monthly Tracker'!F74</f>
        <v/>
      </c>
      <c r="C74">
        <f>SUM(B2:B74)</f>
        <v/>
      </c>
      <c r="D74">
        <f>B74*(1+0.01)^73</f>
        <v/>
      </c>
    </row>
    <row r="75">
      <c r="A75" t="n">
        <v>74</v>
      </c>
      <c r="B75">
        <f>'Monthly Tracker'!F75</f>
        <v/>
      </c>
      <c r="C75">
        <f>SUM(B2:B75)</f>
        <v/>
      </c>
      <c r="D75">
        <f>B75*(1+0.01)^74</f>
        <v/>
      </c>
    </row>
    <row r="76">
      <c r="A76" t="n">
        <v>75</v>
      </c>
      <c r="B76">
        <f>'Monthly Tracker'!F76</f>
        <v/>
      </c>
      <c r="C76">
        <f>SUM(B2:B76)</f>
        <v/>
      </c>
      <c r="D76">
        <f>B76*(1+0.01)^75</f>
        <v/>
      </c>
    </row>
    <row r="77">
      <c r="A77" t="n">
        <v>76</v>
      </c>
      <c r="B77">
        <f>'Monthly Tracker'!F77</f>
        <v/>
      </c>
      <c r="C77">
        <f>SUM(B2:B77)</f>
        <v/>
      </c>
      <c r="D77">
        <f>B77*(1+0.01)^76</f>
        <v/>
      </c>
    </row>
    <row r="78">
      <c r="A78" t="n">
        <v>77</v>
      </c>
      <c r="B78">
        <f>'Monthly Tracker'!F78</f>
        <v/>
      </c>
      <c r="C78">
        <f>SUM(B2:B78)</f>
        <v/>
      </c>
      <c r="D78">
        <f>B78*(1+0.01)^77</f>
        <v/>
      </c>
    </row>
    <row r="79">
      <c r="A79" t="n">
        <v>78</v>
      </c>
      <c r="B79">
        <f>'Monthly Tracker'!F79</f>
        <v/>
      </c>
      <c r="C79">
        <f>SUM(B2:B79)</f>
        <v/>
      </c>
      <c r="D79">
        <f>B79*(1+0.01)^78</f>
        <v/>
      </c>
    </row>
    <row r="80">
      <c r="A80" t="n">
        <v>79</v>
      </c>
      <c r="B80">
        <f>'Monthly Tracker'!F80</f>
        <v/>
      </c>
      <c r="C80">
        <f>SUM(B2:B80)</f>
        <v/>
      </c>
      <c r="D80">
        <f>B80*(1+0.01)^79</f>
        <v/>
      </c>
    </row>
    <row r="81">
      <c r="A81" t="n">
        <v>80</v>
      </c>
      <c r="B81">
        <f>'Monthly Tracker'!F81</f>
        <v/>
      </c>
      <c r="C81">
        <f>SUM(B2:B81)</f>
        <v/>
      </c>
      <c r="D81">
        <f>B81*(1+0.01)^80</f>
        <v/>
      </c>
    </row>
    <row r="82">
      <c r="A82" t="n">
        <v>81</v>
      </c>
      <c r="B82">
        <f>'Monthly Tracker'!F82</f>
        <v/>
      </c>
      <c r="C82">
        <f>SUM(B2:B82)</f>
        <v/>
      </c>
      <c r="D82">
        <f>B82*(1+0.01)^81</f>
        <v/>
      </c>
    </row>
    <row r="83">
      <c r="A83" t="n">
        <v>82</v>
      </c>
      <c r="B83">
        <f>'Monthly Tracker'!F83</f>
        <v/>
      </c>
      <c r="C83">
        <f>SUM(B2:B83)</f>
        <v/>
      </c>
      <c r="D83">
        <f>B83*(1+0.01)^82</f>
        <v/>
      </c>
    </row>
    <row r="84">
      <c r="A84" t="n">
        <v>83</v>
      </c>
      <c r="B84">
        <f>'Monthly Tracker'!F84</f>
        <v/>
      </c>
      <c r="C84">
        <f>SUM(B2:B84)</f>
        <v/>
      </c>
      <c r="D84">
        <f>B84*(1+0.01)^83</f>
        <v/>
      </c>
    </row>
    <row r="85">
      <c r="A85" t="n">
        <v>84</v>
      </c>
      <c r="B85">
        <f>'Monthly Tracker'!F85</f>
        <v/>
      </c>
      <c r="C85">
        <f>SUM(B2:B85)</f>
        <v/>
      </c>
      <c r="D85">
        <f>B85*(1+0.01)^84</f>
        <v/>
      </c>
    </row>
    <row r="86">
      <c r="A86" t="n">
        <v>85</v>
      </c>
      <c r="B86">
        <f>'Monthly Tracker'!F86</f>
        <v/>
      </c>
      <c r="C86">
        <f>SUM(B2:B86)</f>
        <v/>
      </c>
      <c r="D86">
        <f>B86*(1+0.01)^85</f>
        <v/>
      </c>
    </row>
    <row r="87">
      <c r="A87" t="n">
        <v>86</v>
      </c>
      <c r="B87">
        <f>'Monthly Tracker'!F87</f>
        <v/>
      </c>
      <c r="C87">
        <f>SUM(B2:B87)</f>
        <v/>
      </c>
      <c r="D87">
        <f>B87*(1+0.01)^86</f>
        <v/>
      </c>
    </row>
    <row r="88">
      <c r="A88" t="n">
        <v>87</v>
      </c>
      <c r="B88">
        <f>'Monthly Tracker'!F88</f>
        <v/>
      </c>
      <c r="C88">
        <f>SUM(B2:B88)</f>
        <v/>
      </c>
      <c r="D88">
        <f>B88*(1+0.01)^87</f>
        <v/>
      </c>
    </row>
    <row r="89">
      <c r="A89" t="n">
        <v>88</v>
      </c>
      <c r="B89">
        <f>'Monthly Tracker'!F89</f>
        <v/>
      </c>
      <c r="C89">
        <f>SUM(B2:B89)</f>
        <v/>
      </c>
      <c r="D89">
        <f>B89*(1+0.01)^88</f>
        <v/>
      </c>
    </row>
    <row r="90">
      <c r="A90" t="n">
        <v>89</v>
      </c>
      <c r="B90">
        <f>'Monthly Tracker'!F90</f>
        <v/>
      </c>
      <c r="C90">
        <f>SUM(B2:B90)</f>
        <v/>
      </c>
      <c r="D90">
        <f>B90*(1+0.01)^89</f>
        <v/>
      </c>
    </row>
    <row r="91">
      <c r="A91" t="n">
        <v>90</v>
      </c>
      <c r="B91">
        <f>'Monthly Tracker'!F91</f>
        <v/>
      </c>
      <c r="C91">
        <f>SUM(B2:B91)</f>
        <v/>
      </c>
      <c r="D91">
        <f>B91*(1+0.01)^90</f>
        <v/>
      </c>
    </row>
    <row r="92">
      <c r="A92" t="n">
        <v>91</v>
      </c>
      <c r="B92">
        <f>'Monthly Tracker'!F92</f>
        <v/>
      </c>
      <c r="C92">
        <f>SUM(B2:B92)</f>
        <v/>
      </c>
      <c r="D92">
        <f>B92*(1+0.01)^91</f>
        <v/>
      </c>
    </row>
    <row r="93">
      <c r="A93" t="n">
        <v>92</v>
      </c>
      <c r="B93">
        <f>'Monthly Tracker'!F93</f>
        <v/>
      </c>
      <c r="C93">
        <f>SUM(B2:B93)</f>
        <v/>
      </c>
      <c r="D93">
        <f>B93*(1+0.01)^92</f>
        <v/>
      </c>
    </row>
    <row r="94">
      <c r="A94" t="n">
        <v>93</v>
      </c>
      <c r="B94">
        <f>'Monthly Tracker'!F94</f>
        <v/>
      </c>
      <c r="C94">
        <f>SUM(B2:B94)</f>
        <v/>
      </c>
      <c r="D94">
        <f>B94*(1+0.01)^93</f>
        <v/>
      </c>
    </row>
    <row r="95">
      <c r="A95" t="n">
        <v>94</v>
      </c>
      <c r="B95">
        <f>'Monthly Tracker'!F95</f>
        <v/>
      </c>
      <c r="C95">
        <f>SUM(B2:B95)</f>
        <v/>
      </c>
      <c r="D95">
        <f>B95*(1+0.01)^94</f>
        <v/>
      </c>
    </row>
    <row r="96">
      <c r="A96" t="n">
        <v>95</v>
      </c>
      <c r="B96">
        <f>'Monthly Tracker'!F96</f>
        <v/>
      </c>
      <c r="C96">
        <f>SUM(B2:B96)</f>
        <v/>
      </c>
      <c r="D96">
        <f>B96*(1+0.01)^95</f>
        <v/>
      </c>
    </row>
    <row r="97">
      <c r="A97" t="n">
        <v>96</v>
      </c>
      <c r="B97">
        <f>'Monthly Tracker'!F97</f>
        <v/>
      </c>
      <c r="C97">
        <f>SUM(B2:B97)</f>
        <v/>
      </c>
      <c r="D97">
        <f>B97*(1+0.01)^96</f>
        <v/>
      </c>
    </row>
    <row r="98">
      <c r="A98" t="n">
        <v>97</v>
      </c>
      <c r="B98">
        <f>'Monthly Tracker'!F98</f>
        <v/>
      </c>
      <c r="C98">
        <f>SUM(B2:B98)</f>
        <v/>
      </c>
      <c r="D98">
        <f>B98*(1+0.01)^97</f>
        <v/>
      </c>
    </row>
    <row r="99">
      <c r="A99" t="n">
        <v>98</v>
      </c>
      <c r="B99">
        <f>'Monthly Tracker'!F99</f>
        <v/>
      </c>
      <c r="C99">
        <f>SUM(B2:B99)</f>
        <v/>
      </c>
      <c r="D99">
        <f>B99*(1+0.01)^98</f>
        <v/>
      </c>
    </row>
    <row r="100">
      <c r="A100" t="n">
        <v>99</v>
      </c>
      <c r="B100">
        <f>'Monthly Tracker'!F100</f>
        <v/>
      </c>
      <c r="C100">
        <f>SUM(B2:B100)</f>
        <v/>
      </c>
      <c r="D100">
        <f>B100*(1+0.01)^99</f>
        <v/>
      </c>
    </row>
    <row r="101">
      <c r="A101" t="n">
        <v>100</v>
      </c>
      <c r="B101">
        <f>'Monthly Tracker'!F101</f>
        <v/>
      </c>
      <c r="C101">
        <f>SUM(B2:B101)</f>
        <v/>
      </c>
      <c r="D101">
        <f>B101*(1+0.01)^100</f>
        <v/>
      </c>
    </row>
    <row r="102">
      <c r="A102" t="n">
        <v>101</v>
      </c>
      <c r="B102">
        <f>'Monthly Tracker'!F102</f>
        <v/>
      </c>
      <c r="C102">
        <f>SUM(B2:B102)</f>
        <v/>
      </c>
      <c r="D102">
        <f>B102*(1+0.01)^101</f>
        <v/>
      </c>
    </row>
    <row r="103">
      <c r="A103" t="n">
        <v>102</v>
      </c>
      <c r="B103">
        <f>'Monthly Tracker'!F103</f>
        <v/>
      </c>
      <c r="C103">
        <f>SUM(B2:B103)</f>
        <v/>
      </c>
      <c r="D103">
        <f>B103*(1+0.01)^102</f>
        <v/>
      </c>
    </row>
    <row r="104">
      <c r="A104" t="n">
        <v>103</v>
      </c>
      <c r="B104">
        <f>'Monthly Tracker'!F104</f>
        <v/>
      </c>
      <c r="C104">
        <f>SUM(B2:B104)</f>
        <v/>
      </c>
      <c r="D104">
        <f>B104*(1+0.01)^103</f>
        <v/>
      </c>
    </row>
    <row r="105">
      <c r="A105" t="n">
        <v>104</v>
      </c>
      <c r="B105">
        <f>'Monthly Tracker'!F105</f>
        <v/>
      </c>
      <c r="C105">
        <f>SUM(B2:B105)</f>
        <v/>
      </c>
      <c r="D105">
        <f>B105*(1+0.01)^104</f>
        <v/>
      </c>
    </row>
    <row r="106">
      <c r="A106" t="n">
        <v>105</v>
      </c>
      <c r="B106">
        <f>'Monthly Tracker'!F106</f>
        <v/>
      </c>
      <c r="C106">
        <f>SUM(B2:B106)</f>
        <v/>
      </c>
      <c r="D106">
        <f>B106*(1+0.01)^105</f>
        <v/>
      </c>
    </row>
    <row r="107">
      <c r="A107" t="n">
        <v>106</v>
      </c>
      <c r="B107">
        <f>'Monthly Tracker'!F107</f>
        <v/>
      </c>
      <c r="C107">
        <f>SUM(B2:B107)</f>
        <v/>
      </c>
      <c r="D107">
        <f>B107*(1+0.01)^106</f>
        <v/>
      </c>
    </row>
    <row r="108">
      <c r="A108" t="n">
        <v>107</v>
      </c>
      <c r="B108">
        <f>'Monthly Tracker'!F108</f>
        <v/>
      </c>
      <c r="C108">
        <f>SUM(B2:B108)</f>
        <v/>
      </c>
      <c r="D108">
        <f>B108*(1+0.01)^107</f>
        <v/>
      </c>
    </row>
    <row r="109">
      <c r="A109" t="n">
        <v>108</v>
      </c>
      <c r="B109">
        <f>'Monthly Tracker'!F109</f>
        <v/>
      </c>
      <c r="C109">
        <f>SUM(B2:B109)</f>
        <v/>
      </c>
      <c r="D109">
        <f>B109*(1+0.01)^108</f>
        <v/>
      </c>
    </row>
    <row r="110">
      <c r="A110" t="n">
        <v>109</v>
      </c>
      <c r="B110">
        <f>'Monthly Tracker'!F110</f>
        <v/>
      </c>
      <c r="C110">
        <f>SUM(B2:B110)</f>
        <v/>
      </c>
      <c r="D110">
        <f>B110*(1+0.01)^109</f>
        <v/>
      </c>
    </row>
    <row r="111">
      <c r="A111" t="n">
        <v>110</v>
      </c>
      <c r="B111">
        <f>'Monthly Tracker'!F111</f>
        <v/>
      </c>
      <c r="C111">
        <f>SUM(B2:B111)</f>
        <v/>
      </c>
      <c r="D111">
        <f>B111*(1+0.01)^110</f>
        <v/>
      </c>
    </row>
    <row r="112">
      <c r="A112" t="n">
        <v>111</v>
      </c>
      <c r="B112">
        <f>'Monthly Tracker'!F112</f>
        <v/>
      </c>
      <c r="C112">
        <f>SUM(B2:B112)</f>
        <v/>
      </c>
      <c r="D112">
        <f>B112*(1+0.01)^111</f>
        <v/>
      </c>
    </row>
    <row r="113">
      <c r="A113" t="n">
        <v>112</v>
      </c>
      <c r="B113">
        <f>'Monthly Tracker'!F113</f>
        <v/>
      </c>
      <c r="C113">
        <f>SUM(B2:B113)</f>
        <v/>
      </c>
      <c r="D113">
        <f>B113*(1+0.01)^112</f>
        <v/>
      </c>
    </row>
    <row r="114">
      <c r="A114" t="n">
        <v>113</v>
      </c>
      <c r="B114">
        <f>'Monthly Tracker'!F114</f>
        <v/>
      </c>
      <c r="C114">
        <f>SUM(B2:B114)</f>
        <v/>
      </c>
      <c r="D114">
        <f>B114*(1+0.01)^113</f>
        <v/>
      </c>
    </row>
    <row r="115">
      <c r="A115" t="n">
        <v>114</v>
      </c>
      <c r="B115">
        <f>'Monthly Tracker'!F115</f>
        <v/>
      </c>
      <c r="C115">
        <f>SUM(B2:B115)</f>
        <v/>
      </c>
      <c r="D115">
        <f>B115*(1+0.01)^114</f>
        <v/>
      </c>
    </row>
    <row r="116">
      <c r="A116" t="n">
        <v>115</v>
      </c>
      <c r="B116">
        <f>'Monthly Tracker'!F116</f>
        <v/>
      </c>
      <c r="C116">
        <f>SUM(B2:B116)</f>
        <v/>
      </c>
      <c r="D116">
        <f>B116*(1+0.01)^115</f>
        <v/>
      </c>
    </row>
    <row r="117">
      <c r="A117" t="n">
        <v>116</v>
      </c>
      <c r="B117">
        <f>'Monthly Tracker'!F117</f>
        <v/>
      </c>
      <c r="C117">
        <f>SUM(B2:B117)</f>
        <v/>
      </c>
      <c r="D117">
        <f>B117*(1+0.01)^116</f>
        <v/>
      </c>
    </row>
    <row r="118">
      <c r="A118" t="n">
        <v>117</v>
      </c>
      <c r="B118">
        <f>'Monthly Tracker'!F118</f>
        <v/>
      </c>
      <c r="C118">
        <f>SUM(B2:B118)</f>
        <v/>
      </c>
      <c r="D118">
        <f>B118*(1+0.01)^117</f>
        <v/>
      </c>
    </row>
    <row r="119">
      <c r="A119" t="n">
        <v>118</v>
      </c>
      <c r="B119">
        <f>'Monthly Tracker'!F119</f>
        <v/>
      </c>
      <c r="C119">
        <f>SUM(B2:B119)</f>
        <v/>
      </c>
      <c r="D119">
        <f>B119*(1+0.01)^118</f>
        <v/>
      </c>
    </row>
    <row r="120">
      <c r="A120" t="n">
        <v>119</v>
      </c>
      <c r="B120">
        <f>'Monthly Tracker'!F120</f>
        <v/>
      </c>
      <c r="C120">
        <f>SUM(B2:B120)</f>
        <v/>
      </c>
      <c r="D120">
        <f>B120*(1+0.01)^119</f>
        <v/>
      </c>
    </row>
    <row r="121">
      <c r="A121" t="n">
        <v>120</v>
      </c>
      <c r="B121">
        <f>'Monthly Tracker'!F121</f>
        <v/>
      </c>
      <c r="C121">
        <f>SUM(B2:B121)</f>
        <v/>
      </c>
      <c r="D121">
        <f>B121*(1+0.01)^120</f>
        <v/>
      </c>
    </row>
    <row r="122">
      <c r="A122" t="n">
        <v>121</v>
      </c>
      <c r="B122">
        <f>'Monthly Tracker'!F122</f>
        <v/>
      </c>
      <c r="C122">
        <f>SUM(B2:B122)</f>
        <v/>
      </c>
      <c r="D122">
        <f>B122*(1+0.01)^121</f>
        <v/>
      </c>
    </row>
    <row r="123">
      <c r="A123" t="n">
        <v>122</v>
      </c>
      <c r="B123">
        <f>'Monthly Tracker'!F123</f>
        <v/>
      </c>
      <c r="C123">
        <f>SUM(B2:B123)</f>
        <v/>
      </c>
      <c r="D123">
        <f>B123*(1+0.01)^122</f>
        <v/>
      </c>
    </row>
    <row r="124">
      <c r="A124" t="n">
        <v>123</v>
      </c>
      <c r="B124">
        <f>'Monthly Tracker'!F124</f>
        <v/>
      </c>
      <c r="C124">
        <f>SUM(B2:B124)</f>
        <v/>
      </c>
      <c r="D124">
        <f>B124*(1+0.01)^123</f>
        <v/>
      </c>
    </row>
    <row r="125">
      <c r="A125" t="n">
        <v>124</v>
      </c>
      <c r="B125">
        <f>'Monthly Tracker'!F125</f>
        <v/>
      </c>
      <c r="C125">
        <f>SUM(B2:B125)</f>
        <v/>
      </c>
      <c r="D125">
        <f>B125*(1+0.01)^124</f>
        <v/>
      </c>
    </row>
    <row r="126">
      <c r="A126" t="n">
        <v>125</v>
      </c>
      <c r="B126">
        <f>'Monthly Tracker'!F126</f>
        <v/>
      </c>
      <c r="C126">
        <f>SUM(B2:B126)</f>
        <v/>
      </c>
      <c r="D126">
        <f>B126*(1+0.01)^125</f>
        <v/>
      </c>
    </row>
    <row r="127">
      <c r="A127" t="n">
        <v>126</v>
      </c>
      <c r="B127">
        <f>'Monthly Tracker'!F127</f>
        <v/>
      </c>
      <c r="C127">
        <f>SUM(B2:B127)</f>
        <v/>
      </c>
      <c r="D127">
        <f>B127*(1+0.01)^126</f>
        <v/>
      </c>
    </row>
    <row r="128">
      <c r="A128" t="n">
        <v>127</v>
      </c>
      <c r="B128">
        <f>'Monthly Tracker'!F128</f>
        <v/>
      </c>
      <c r="C128">
        <f>SUM(B2:B128)</f>
        <v/>
      </c>
      <c r="D128">
        <f>B128*(1+0.01)^127</f>
        <v/>
      </c>
    </row>
    <row r="129">
      <c r="A129" t="n">
        <v>128</v>
      </c>
      <c r="B129">
        <f>'Monthly Tracker'!F129</f>
        <v/>
      </c>
      <c r="C129">
        <f>SUM(B2:B129)</f>
        <v/>
      </c>
      <c r="D129">
        <f>B129*(1+0.01)^128</f>
        <v/>
      </c>
    </row>
    <row r="130">
      <c r="A130" t="n">
        <v>129</v>
      </c>
      <c r="B130">
        <f>'Monthly Tracker'!F130</f>
        <v/>
      </c>
      <c r="C130">
        <f>SUM(B2:B130)</f>
        <v/>
      </c>
      <c r="D130">
        <f>B130*(1+0.01)^129</f>
        <v/>
      </c>
    </row>
    <row r="131">
      <c r="A131" t="n">
        <v>130</v>
      </c>
      <c r="B131">
        <f>'Monthly Tracker'!F131</f>
        <v/>
      </c>
      <c r="C131">
        <f>SUM(B2:B131)</f>
        <v/>
      </c>
      <c r="D131">
        <f>B131*(1+0.01)^130</f>
        <v/>
      </c>
    </row>
    <row r="132">
      <c r="A132" t="n">
        <v>131</v>
      </c>
      <c r="B132">
        <f>'Monthly Tracker'!F132</f>
        <v/>
      </c>
      <c r="C132">
        <f>SUM(B2:B132)</f>
        <v/>
      </c>
      <c r="D132">
        <f>B132*(1+0.01)^131</f>
        <v/>
      </c>
    </row>
    <row r="133">
      <c r="A133" t="n">
        <v>132</v>
      </c>
      <c r="B133">
        <f>'Monthly Tracker'!F133</f>
        <v/>
      </c>
      <c r="C133">
        <f>SUM(B2:B133)</f>
        <v/>
      </c>
      <c r="D133">
        <f>B133*(1+0.01)^132</f>
        <v/>
      </c>
    </row>
    <row r="134">
      <c r="A134" t="n">
        <v>133</v>
      </c>
      <c r="B134">
        <f>'Monthly Tracker'!F134</f>
        <v/>
      </c>
      <c r="C134">
        <f>SUM(B2:B134)</f>
        <v/>
      </c>
      <c r="D134">
        <f>B134*(1+0.01)^133</f>
        <v/>
      </c>
    </row>
    <row r="135">
      <c r="A135" t="n">
        <v>134</v>
      </c>
      <c r="B135">
        <f>'Monthly Tracker'!F135</f>
        <v/>
      </c>
      <c r="C135">
        <f>SUM(B2:B135)</f>
        <v/>
      </c>
      <c r="D135">
        <f>B135*(1+0.01)^134</f>
        <v/>
      </c>
    </row>
    <row r="136">
      <c r="A136" t="n">
        <v>135</v>
      </c>
      <c r="B136">
        <f>'Monthly Tracker'!F136</f>
        <v/>
      </c>
      <c r="C136">
        <f>SUM(B2:B136)</f>
        <v/>
      </c>
      <c r="D136">
        <f>B136*(1+0.01)^135</f>
        <v/>
      </c>
    </row>
    <row r="137">
      <c r="A137" t="n">
        <v>136</v>
      </c>
      <c r="B137">
        <f>'Monthly Tracker'!F137</f>
        <v/>
      </c>
      <c r="C137">
        <f>SUM(B2:B137)</f>
        <v/>
      </c>
      <c r="D137">
        <f>B137*(1+0.01)^136</f>
        <v/>
      </c>
    </row>
    <row r="138">
      <c r="A138" t="n">
        <v>137</v>
      </c>
      <c r="B138">
        <f>'Monthly Tracker'!F138</f>
        <v/>
      </c>
      <c r="C138">
        <f>SUM(B2:B138)</f>
        <v/>
      </c>
      <c r="D138">
        <f>B138*(1+0.01)^137</f>
        <v/>
      </c>
    </row>
    <row r="139">
      <c r="A139" t="n">
        <v>138</v>
      </c>
      <c r="B139">
        <f>'Monthly Tracker'!F139</f>
        <v/>
      </c>
      <c r="C139">
        <f>SUM(B2:B139)</f>
        <v/>
      </c>
      <c r="D139">
        <f>B139*(1+0.01)^138</f>
        <v/>
      </c>
    </row>
    <row r="140">
      <c r="A140" t="n">
        <v>139</v>
      </c>
      <c r="B140">
        <f>'Monthly Tracker'!F140</f>
        <v/>
      </c>
      <c r="C140">
        <f>SUM(B2:B140)</f>
        <v/>
      </c>
      <c r="D140">
        <f>B140*(1+0.01)^139</f>
        <v/>
      </c>
    </row>
    <row r="141">
      <c r="A141" t="n">
        <v>140</v>
      </c>
      <c r="B141">
        <f>'Monthly Tracker'!F141</f>
        <v/>
      </c>
      <c r="C141">
        <f>SUM(B2:B141)</f>
        <v/>
      </c>
      <c r="D141">
        <f>B141*(1+0.01)^140</f>
        <v/>
      </c>
    </row>
    <row r="142">
      <c r="A142" t="n">
        <v>141</v>
      </c>
      <c r="B142">
        <f>'Monthly Tracker'!F142</f>
        <v/>
      </c>
      <c r="C142">
        <f>SUM(B2:B142)</f>
        <v/>
      </c>
      <c r="D142">
        <f>B142*(1+0.01)^141</f>
        <v/>
      </c>
    </row>
    <row r="143">
      <c r="A143" t="n">
        <v>142</v>
      </c>
      <c r="B143">
        <f>'Monthly Tracker'!F143</f>
        <v/>
      </c>
      <c r="C143">
        <f>SUM(B2:B143)</f>
        <v/>
      </c>
      <c r="D143">
        <f>B143*(1+0.01)^142</f>
        <v/>
      </c>
    </row>
    <row r="144">
      <c r="A144" t="n">
        <v>143</v>
      </c>
      <c r="B144">
        <f>'Monthly Tracker'!F144</f>
        <v/>
      </c>
      <c r="C144">
        <f>SUM(B2:B144)</f>
        <v/>
      </c>
      <c r="D144">
        <f>B144*(1+0.01)^143</f>
        <v/>
      </c>
    </row>
    <row r="145">
      <c r="A145" t="n">
        <v>144</v>
      </c>
      <c r="B145">
        <f>'Monthly Tracker'!F145</f>
        <v/>
      </c>
      <c r="C145">
        <f>SUM(B2:B145)</f>
        <v/>
      </c>
      <c r="D145">
        <f>B145*(1+0.01)^144</f>
        <v/>
      </c>
    </row>
    <row r="146">
      <c r="A146" t="n">
        <v>145</v>
      </c>
      <c r="B146">
        <f>'Monthly Tracker'!F146</f>
        <v/>
      </c>
      <c r="C146">
        <f>SUM(B2:B146)</f>
        <v/>
      </c>
      <c r="D146">
        <f>B146*(1+0.01)^145</f>
        <v/>
      </c>
    </row>
    <row r="147">
      <c r="A147" t="n">
        <v>146</v>
      </c>
      <c r="B147">
        <f>'Monthly Tracker'!F147</f>
        <v/>
      </c>
      <c r="C147">
        <f>SUM(B2:B147)</f>
        <v/>
      </c>
      <c r="D147">
        <f>B147*(1+0.01)^146</f>
        <v/>
      </c>
    </row>
    <row r="148">
      <c r="A148" t="n">
        <v>147</v>
      </c>
      <c r="B148">
        <f>'Monthly Tracker'!F148</f>
        <v/>
      </c>
      <c r="C148">
        <f>SUM(B2:B148)</f>
        <v/>
      </c>
      <c r="D148">
        <f>B148*(1+0.01)^147</f>
        <v/>
      </c>
    </row>
    <row r="149">
      <c r="A149" t="n">
        <v>148</v>
      </c>
      <c r="B149">
        <f>'Monthly Tracker'!F149</f>
        <v/>
      </c>
      <c r="C149">
        <f>SUM(B2:B149)</f>
        <v/>
      </c>
      <c r="D149">
        <f>B149*(1+0.01)^148</f>
        <v/>
      </c>
    </row>
    <row r="150">
      <c r="A150" t="n">
        <v>149</v>
      </c>
      <c r="B150">
        <f>'Monthly Tracker'!F150</f>
        <v/>
      </c>
      <c r="C150">
        <f>SUM(B2:B150)</f>
        <v/>
      </c>
      <c r="D150">
        <f>B150*(1+0.01)^149</f>
        <v/>
      </c>
    </row>
    <row r="151">
      <c r="A151" t="n">
        <v>150</v>
      </c>
      <c r="B151">
        <f>'Monthly Tracker'!F151</f>
        <v/>
      </c>
      <c r="C151">
        <f>SUM(B2:B151)</f>
        <v/>
      </c>
      <c r="D151">
        <f>B151*(1+0.01)^150</f>
        <v/>
      </c>
    </row>
    <row r="152">
      <c r="A152" t="n">
        <v>151</v>
      </c>
      <c r="B152">
        <f>'Monthly Tracker'!F152</f>
        <v/>
      </c>
      <c r="C152">
        <f>SUM(B2:B152)</f>
        <v/>
      </c>
      <c r="D152">
        <f>B152*(1+0.01)^151</f>
        <v/>
      </c>
    </row>
    <row r="153">
      <c r="A153" t="n">
        <v>152</v>
      </c>
      <c r="B153">
        <f>'Monthly Tracker'!F153</f>
        <v/>
      </c>
      <c r="C153">
        <f>SUM(B2:B153)</f>
        <v/>
      </c>
      <c r="D153">
        <f>B153*(1+0.01)^152</f>
        <v/>
      </c>
    </row>
    <row r="154">
      <c r="A154" t="n">
        <v>153</v>
      </c>
      <c r="B154">
        <f>'Monthly Tracker'!F154</f>
        <v/>
      </c>
      <c r="C154">
        <f>SUM(B2:B154)</f>
        <v/>
      </c>
      <c r="D154">
        <f>B154*(1+0.01)^153</f>
        <v/>
      </c>
    </row>
    <row r="155">
      <c r="A155" t="n">
        <v>154</v>
      </c>
      <c r="B155">
        <f>'Monthly Tracker'!F155</f>
        <v/>
      </c>
      <c r="C155">
        <f>SUM(B2:B155)</f>
        <v/>
      </c>
      <c r="D155">
        <f>B155*(1+0.01)^154</f>
        <v/>
      </c>
    </row>
    <row r="156">
      <c r="A156" t="n">
        <v>155</v>
      </c>
      <c r="B156">
        <f>'Monthly Tracker'!F156</f>
        <v/>
      </c>
      <c r="C156">
        <f>SUM(B2:B156)</f>
        <v/>
      </c>
      <c r="D156">
        <f>B156*(1+0.01)^155</f>
        <v/>
      </c>
    </row>
    <row r="157">
      <c r="A157" t="n">
        <v>156</v>
      </c>
      <c r="B157">
        <f>'Monthly Tracker'!F157</f>
        <v/>
      </c>
      <c r="C157">
        <f>SUM(B2:B157)</f>
        <v/>
      </c>
      <c r="D157">
        <f>B157*(1+0.01)^156</f>
        <v/>
      </c>
    </row>
    <row r="158">
      <c r="A158" t="n">
        <v>157</v>
      </c>
      <c r="B158">
        <f>'Monthly Tracker'!F158</f>
        <v/>
      </c>
      <c r="C158">
        <f>SUM(B2:B158)</f>
        <v/>
      </c>
      <c r="D158">
        <f>B158*(1+0.01)^157</f>
        <v/>
      </c>
    </row>
    <row r="159">
      <c r="A159" t="n">
        <v>158</v>
      </c>
      <c r="B159">
        <f>'Monthly Tracker'!F159</f>
        <v/>
      </c>
      <c r="C159">
        <f>SUM(B2:B159)</f>
        <v/>
      </c>
      <c r="D159">
        <f>B159*(1+0.01)^158</f>
        <v/>
      </c>
    </row>
    <row r="160">
      <c r="A160" t="n">
        <v>159</v>
      </c>
      <c r="B160">
        <f>'Monthly Tracker'!F160</f>
        <v/>
      </c>
      <c r="C160">
        <f>SUM(B2:B160)</f>
        <v/>
      </c>
      <c r="D160">
        <f>B160*(1+0.01)^159</f>
        <v/>
      </c>
    </row>
    <row r="161">
      <c r="A161" t="n">
        <v>160</v>
      </c>
      <c r="B161">
        <f>'Monthly Tracker'!F161</f>
        <v/>
      </c>
      <c r="C161">
        <f>SUM(B2:B161)</f>
        <v/>
      </c>
      <c r="D161">
        <f>B161*(1+0.01)^160</f>
        <v/>
      </c>
    </row>
    <row r="162">
      <c r="A162" t="n">
        <v>161</v>
      </c>
      <c r="B162">
        <f>'Monthly Tracker'!F162</f>
        <v/>
      </c>
      <c r="C162">
        <f>SUM(B2:B162)</f>
        <v/>
      </c>
      <c r="D162">
        <f>B162*(1+0.01)^161</f>
        <v/>
      </c>
    </row>
    <row r="163">
      <c r="A163" t="n">
        <v>162</v>
      </c>
      <c r="B163">
        <f>'Monthly Tracker'!F163</f>
        <v/>
      </c>
      <c r="C163">
        <f>SUM(B2:B163)</f>
        <v/>
      </c>
      <c r="D163">
        <f>B163*(1+0.01)^162</f>
        <v/>
      </c>
    </row>
    <row r="164">
      <c r="A164" t="n">
        <v>163</v>
      </c>
      <c r="B164">
        <f>'Monthly Tracker'!F164</f>
        <v/>
      </c>
      <c r="C164">
        <f>SUM(B2:B164)</f>
        <v/>
      </c>
      <c r="D164">
        <f>B164*(1+0.01)^163</f>
        <v/>
      </c>
    </row>
    <row r="165">
      <c r="A165" t="n">
        <v>164</v>
      </c>
      <c r="B165">
        <f>'Monthly Tracker'!F165</f>
        <v/>
      </c>
      <c r="C165">
        <f>SUM(B2:B165)</f>
        <v/>
      </c>
      <c r="D165">
        <f>B165*(1+0.01)^164</f>
        <v/>
      </c>
    </row>
    <row r="166">
      <c r="A166" t="n">
        <v>165</v>
      </c>
      <c r="B166">
        <f>'Monthly Tracker'!F166</f>
        <v/>
      </c>
      <c r="C166">
        <f>SUM(B2:B166)</f>
        <v/>
      </c>
      <c r="D166">
        <f>B166*(1+0.01)^165</f>
        <v/>
      </c>
    </row>
    <row r="167">
      <c r="A167" t="n">
        <v>166</v>
      </c>
      <c r="B167">
        <f>'Monthly Tracker'!F167</f>
        <v/>
      </c>
      <c r="C167">
        <f>SUM(B2:B167)</f>
        <v/>
      </c>
      <c r="D167">
        <f>B167*(1+0.01)^166</f>
        <v/>
      </c>
    </row>
    <row r="168">
      <c r="A168" t="n">
        <v>167</v>
      </c>
      <c r="B168">
        <f>'Monthly Tracker'!F168</f>
        <v/>
      </c>
      <c r="C168">
        <f>SUM(B2:B168)</f>
        <v/>
      </c>
      <c r="D168">
        <f>B168*(1+0.01)^167</f>
        <v/>
      </c>
    </row>
    <row r="169">
      <c r="A169" t="n">
        <v>168</v>
      </c>
      <c r="B169">
        <f>'Monthly Tracker'!F169</f>
        <v/>
      </c>
      <c r="C169">
        <f>SUM(B2:B169)</f>
        <v/>
      </c>
      <c r="D169">
        <f>B169*(1+0.01)^168</f>
        <v/>
      </c>
    </row>
    <row r="170">
      <c r="A170" t="n">
        <v>169</v>
      </c>
      <c r="B170">
        <f>'Monthly Tracker'!F170</f>
        <v/>
      </c>
      <c r="C170">
        <f>SUM(B2:B170)</f>
        <v/>
      </c>
      <c r="D170">
        <f>B170*(1+0.01)^169</f>
        <v/>
      </c>
    </row>
    <row r="171">
      <c r="A171" t="n">
        <v>170</v>
      </c>
      <c r="B171">
        <f>'Monthly Tracker'!F171</f>
        <v/>
      </c>
      <c r="C171">
        <f>SUM(B2:B171)</f>
        <v/>
      </c>
      <c r="D171">
        <f>B171*(1+0.01)^170</f>
        <v/>
      </c>
    </row>
    <row r="172">
      <c r="A172" t="n">
        <v>171</v>
      </c>
      <c r="B172">
        <f>'Monthly Tracker'!F172</f>
        <v/>
      </c>
      <c r="C172">
        <f>SUM(B2:B172)</f>
        <v/>
      </c>
      <c r="D172">
        <f>B172*(1+0.01)^171</f>
        <v/>
      </c>
    </row>
    <row r="173">
      <c r="A173" t="n">
        <v>172</v>
      </c>
      <c r="B173">
        <f>'Monthly Tracker'!F173</f>
        <v/>
      </c>
      <c r="C173">
        <f>SUM(B2:B173)</f>
        <v/>
      </c>
      <c r="D173">
        <f>B173*(1+0.01)^172</f>
        <v/>
      </c>
    </row>
    <row r="174">
      <c r="A174" t="n">
        <v>173</v>
      </c>
      <c r="B174">
        <f>'Monthly Tracker'!F174</f>
        <v/>
      </c>
      <c r="C174">
        <f>SUM(B2:B174)</f>
        <v/>
      </c>
      <c r="D174">
        <f>B174*(1+0.01)^173</f>
        <v/>
      </c>
    </row>
    <row r="175">
      <c r="A175" t="n">
        <v>174</v>
      </c>
      <c r="B175">
        <f>'Monthly Tracker'!F175</f>
        <v/>
      </c>
      <c r="C175">
        <f>SUM(B2:B175)</f>
        <v/>
      </c>
      <c r="D175">
        <f>B175*(1+0.01)^174</f>
        <v/>
      </c>
    </row>
    <row r="176">
      <c r="A176" t="n">
        <v>175</v>
      </c>
      <c r="B176">
        <f>'Monthly Tracker'!F176</f>
        <v/>
      </c>
      <c r="C176">
        <f>SUM(B2:B176)</f>
        <v/>
      </c>
      <c r="D176">
        <f>B176*(1+0.01)^175</f>
        <v/>
      </c>
    </row>
    <row r="177">
      <c r="A177" t="n">
        <v>176</v>
      </c>
      <c r="B177">
        <f>'Monthly Tracker'!F177</f>
        <v/>
      </c>
      <c r="C177">
        <f>SUM(B2:B177)</f>
        <v/>
      </c>
      <c r="D177">
        <f>B177*(1+0.01)^176</f>
        <v/>
      </c>
    </row>
    <row r="178">
      <c r="A178" t="n">
        <v>177</v>
      </c>
      <c r="B178">
        <f>'Monthly Tracker'!F178</f>
        <v/>
      </c>
      <c r="C178">
        <f>SUM(B2:B178)</f>
        <v/>
      </c>
      <c r="D178">
        <f>B178*(1+0.01)^177</f>
        <v/>
      </c>
    </row>
    <row r="179">
      <c r="A179" t="n">
        <v>178</v>
      </c>
      <c r="B179">
        <f>'Monthly Tracker'!F179</f>
        <v/>
      </c>
      <c r="C179">
        <f>SUM(B2:B179)</f>
        <v/>
      </c>
      <c r="D179">
        <f>B179*(1+0.01)^178</f>
        <v/>
      </c>
    </row>
    <row r="180">
      <c r="A180" t="n">
        <v>179</v>
      </c>
      <c r="B180">
        <f>'Monthly Tracker'!F180</f>
        <v/>
      </c>
      <c r="C180">
        <f>SUM(B2:B180)</f>
        <v/>
      </c>
      <c r="D180">
        <f>B180*(1+0.01)^179</f>
        <v/>
      </c>
    </row>
    <row r="181">
      <c r="A181" t="n">
        <v>180</v>
      </c>
      <c r="B181">
        <f>'Monthly Tracker'!F181</f>
        <v/>
      </c>
      <c r="C181">
        <f>SUM(B2:B181)</f>
        <v/>
      </c>
      <c r="D181">
        <f>B181*(1+0.01)^180</f>
        <v/>
      </c>
    </row>
    <row r="182">
      <c r="A182" t="n">
        <v>181</v>
      </c>
      <c r="B182">
        <f>'Monthly Tracker'!F182</f>
        <v/>
      </c>
      <c r="C182">
        <f>SUM(B2:B182)</f>
        <v/>
      </c>
      <c r="D182">
        <f>B182*(1+0.01)^181</f>
        <v/>
      </c>
    </row>
    <row r="183">
      <c r="A183" t="n">
        <v>182</v>
      </c>
      <c r="B183">
        <f>'Monthly Tracker'!F183</f>
        <v/>
      </c>
      <c r="C183">
        <f>SUM(B2:B183)</f>
        <v/>
      </c>
      <c r="D183">
        <f>B183*(1+0.01)^182</f>
        <v/>
      </c>
    </row>
    <row r="184">
      <c r="A184" t="n">
        <v>183</v>
      </c>
      <c r="B184">
        <f>'Monthly Tracker'!F184</f>
        <v/>
      </c>
      <c r="C184">
        <f>SUM(B2:B184)</f>
        <v/>
      </c>
      <c r="D184">
        <f>B184*(1+0.01)^183</f>
        <v/>
      </c>
    </row>
    <row r="185">
      <c r="A185" t="n">
        <v>184</v>
      </c>
      <c r="B185">
        <f>'Monthly Tracker'!F185</f>
        <v/>
      </c>
      <c r="C185">
        <f>SUM(B2:B185)</f>
        <v/>
      </c>
      <c r="D185">
        <f>B185*(1+0.01)^184</f>
        <v/>
      </c>
    </row>
    <row r="186">
      <c r="A186" t="n">
        <v>185</v>
      </c>
      <c r="B186">
        <f>'Monthly Tracker'!F186</f>
        <v/>
      </c>
      <c r="C186">
        <f>SUM(B2:B186)</f>
        <v/>
      </c>
      <c r="D186">
        <f>B186*(1+0.01)^185</f>
        <v/>
      </c>
    </row>
    <row r="187">
      <c r="A187" t="n">
        <v>186</v>
      </c>
      <c r="B187">
        <f>'Monthly Tracker'!F187</f>
        <v/>
      </c>
      <c r="C187">
        <f>SUM(B2:B187)</f>
        <v/>
      </c>
      <c r="D187">
        <f>B187*(1+0.01)^186</f>
        <v/>
      </c>
    </row>
    <row r="188">
      <c r="A188" t="n">
        <v>187</v>
      </c>
      <c r="B188">
        <f>'Monthly Tracker'!F188</f>
        <v/>
      </c>
      <c r="C188">
        <f>SUM(B2:B188)</f>
        <v/>
      </c>
      <c r="D188">
        <f>B188*(1+0.01)^187</f>
        <v/>
      </c>
    </row>
    <row r="189">
      <c r="A189" t="n">
        <v>188</v>
      </c>
      <c r="B189">
        <f>'Monthly Tracker'!F189</f>
        <v/>
      </c>
      <c r="C189">
        <f>SUM(B2:B189)</f>
        <v/>
      </c>
      <c r="D189">
        <f>B189*(1+0.01)^188</f>
        <v/>
      </c>
    </row>
    <row r="190">
      <c r="A190" t="n">
        <v>189</v>
      </c>
      <c r="B190">
        <f>'Monthly Tracker'!F190</f>
        <v/>
      </c>
      <c r="C190">
        <f>SUM(B2:B190)</f>
        <v/>
      </c>
      <c r="D190">
        <f>B190*(1+0.01)^189</f>
        <v/>
      </c>
    </row>
    <row r="191">
      <c r="A191" t="n">
        <v>190</v>
      </c>
      <c r="B191">
        <f>'Monthly Tracker'!F191</f>
        <v/>
      </c>
      <c r="C191">
        <f>SUM(B2:B191)</f>
        <v/>
      </c>
      <c r="D191">
        <f>B191*(1+0.01)^190</f>
        <v/>
      </c>
    </row>
    <row r="192">
      <c r="A192" t="n">
        <v>191</v>
      </c>
      <c r="B192">
        <f>'Monthly Tracker'!F192</f>
        <v/>
      </c>
      <c r="C192">
        <f>SUM(B2:B192)</f>
        <v/>
      </c>
      <c r="D192">
        <f>B192*(1+0.01)^191</f>
        <v/>
      </c>
    </row>
    <row r="193">
      <c r="A193" t="n">
        <v>192</v>
      </c>
      <c r="B193">
        <f>'Monthly Tracker'!F193</f>
        <v/>
      </c>
      <c r="C193">
        <f>SUM(B2:B193)</f>
        <v/>
      </c>
      <c r="D193">
        <f>B193*(1+0.01)^192</f>
        <v/>
      </c>
    </row>
    <row r="194">
      <c r="A194" t="n">
        <v>193</v>
      </c>
      <c r="B194">
        <f>'Monthly Tracker'!F194</f>
        <v/>
      </c>
      <c r="C194">
        <f>SUM(B2:B194)</f>
        <v/>
      </c>
      <c r="D194">
        <f>B194*(1+0.01)^193</f>
        <v/>
      </c>
    </row>
    <row r="195">
      <c r="A195" t="n">
        <v>194</v>
      </c>
      <c r="B195">
        <f>'Monthly Tracker'!F195</f>
        <v/>
      </c>
      <c r="C195">
        <f>SUM(B2:B195)</f>
        <v/>
      </c>
      <c r="D195">
        <f>B195*(1+0.01)^194</f>
        <v/>
      </c>
    </row>
    <row r="196">
      <c r="A196" t="n">
        <v>195</v>
      </c>
      <c r="B196">
        <f>'Monthly Tracker'!F196</f>
        <v/>
      </c>
      <c r="C196">
        <f>SUM(B2:B196)</f>
        <v/>
      </c>
      <c r="D196">
        <f>B196*(1+0.01)^195</f>
        <v/>
      </c>
    </row>
    <row r="197">
      <c r="A197" t="n">
        <v>196</v>
      </c>
      <c r="B197">
        <f>'Monthly Tracker'!F197</f>
        <v/>
      </c>
      <c r="C197">
        <f>SUM(B2:B197)</f>
        <v/>
      </c>
      <c r="D197">
        <f>B197*(1+0.01)^196</f>
        <v/>
      </c>
    </row>
    <row r="198">
      <c r="A198" t="n">
        <v>197</v>
      </c>
      <c r="B198">
        <f>'Monthly Tracker'!F198</f>
        <v/>
      </c>
      <c r="C198">
        <f>SUM(B2:B198)</f>
        <v/>
      </c>
      <c r="D198">
        <f>B198*(1+0.01)^197</f>
        <v/>
      </c>
    </row>
    <row r="199">
      <c r="A199" t="n">
        <v>198</v>
      </c>
      <c r="B199">
        <f>'Monthly Tracker'!F199</f>
        <v/>
      </c>
      <c r="C199">
        <f>SUM(B2:B199)</f>
        <v/>
      </c>
      <c r="D199">
        <f>B199*(1+0.01)^198</f>
        <v/>
      </c>
    </row>
    <row r="200">
      <c r="A200" t="n">
        <v>199</v>
      </c>
      <c r="B200">
        <f>'Monthly Tracker'!F200</f>
        <v/>
      </c>
      <c r="C200">
        <f>SUM(B2:B200)</f>
        <v/>
      </c>
      <c r="D200">
        <f>B200*(1+0.01)^199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Financial Dashboard</t>
        </is>
      </c>
    </row>
    <row r="3">
      <c r="A3" t="inlineStr">
        <is>
          <t>Total SIP Invested</t>
        </is>
      </c>
      <c r="B3">
        <f>SUM('SIP Growth'!C2:C200)</f>
        <v/>
      </c>
    </row>
    <row r="4">
      <c r="A4" t="inlineStr">
        <is>
          <t>SIP Value</t>
        </is>
      </c>
      <c r="B4">
        <f>MAX('SIP Growth'!D2:D200)</f>
        <v/>
      </c>
    </row>
    <row r="5">
      <c r="A5" t="inlineStr">
        <is>
          <t>Remaining Loan</t>
        </is>
      </c>
      <c r="B5">
        <f>'Loan Tracker'!G199</f>
        <v/>
      </c>
    </row>
    <row r="6">
      <c r="A6" t="inlineStr">
        <is>
          <t>Loan Free Status</t>
        </is>
      </c>
      <c r="B6">
        <f>IF(B5&lt;=0,"Loan Closed 🎉","Active")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Alert</t>
        </is>
      </c>
    </row>
    <row r="2">
      <c r="A2" t="inlineStr">
        <is>
          <t>Month 1</t>
        </is>
      </c>
      <c r="B2">
        <f>IF('Monthly Tracker'!D2="","❌ EMI Missing","OK")</f>
        <v/>
      </c>
    </row>
    <row r="3">
      <c r="A3" t="inlineStr">
        <is>
          <t>Month 2</t>
        </is>
      </c>
      <c r="B3">
        <f>IF('Monthly Tracker'!D3="","❌ EMI Missing","OK")</f>
        <v/>
      </c>
    </row>
    <row r="4">
      <c r="A4" t="inlineStr">
        <is>
          <t>Month 3</t>
        </is>
      </c>
      <c r="B4">
        <f>IF('Monthly Tracker'!D4="","❌ EMI Missing","OK")</f>
        <v/>
      </c>
    </row>
    <row r="5">
      <c r="A5" t="inlineStr">
        <is>
          <t>Month 4</t>
        </is>
      </c>
      <c r="B5">
        <f>IF('Monthly Tracker'!D5="","❌ EMI Missing","OK")</f>
        <v/>
      </c>
    </row>
    <row r="6">
      <c r="A6" t="inlineStr">
        <is>
          <t>Month 5</t>
        </is>
      </c>
      <c r="B6">
        <f>IF('Monthly Tracker'!D6="","❌ EMI Missing","OK")</f>
        <v/>
      </c>
    </row>
    <row r="7">
      <c r="A7" t="inlineStr">
        <is>
          <t>Month 6</t>
        </is>
      </c>
      <c r="B7">
        <f>IF('Monthly Tracker'!D7="","❌ EMI Missing","OK")</f>
        <v/>
      </c>
    </row>
    <row r="8">
      <c r="A8" t="inlineStr">
        <is>
          <t>Month 7</t>
        </is>
      </c>
      <c r="B8">
        <f>IF('Monthly Tracker'!D8="","❌ EMI Missing","OK")</f>
        <v/>
      </c>
    </row>
    <row r="9">
      <c r="A9" t="inlineStr">
        <is>
          <t>Month 8</t>
        </is>
      </c>
      <c r="B9">
        <f>IF('Monthly Tracker'!D9="","❌ EMI Missing","OK")</f>
        <v/>
      </c>
    </row>
    <row r="10">
      <c r="A10" t="inlineStr">
        <is>
          <t>Month 9</t>
        </is>
      </c>
      <c r="B10">
        <f>IF('Monthly Tracker'!D10="","❌ EMI Missing","OK")</f>
        <v/>
      </c>
    </row>
    <row r="11">
      <c r="A11" t="inlineStr">
        <is>
          <t>Month 10</t>
        </is>
      </c>
      <c r="B11">
        <f>IF('Monthly Tracker'!D11="","❌ EMI Missing","OK")</f>
        <v/>
      </c>
    </row>
    <row r="12">
      <c r="A12" t="inlineStr">
        <is>
          <t>Month 11</t>
        </is>
      </c>
      <c r="B12">
        <f>IF('Monthly Tracker'!D12="","❌ EMI Missing","OK")</f>
        <v/>
      </c>
    </row>
    <row r="13">
      <c r="A13" t="inlineStr">
        <is>
          <t>Month 12</t>
        </is>
      </c>
      <c r="B13">
        <f>IF('Monthly Tracker'!D13="","❌ EMI Missing","OK")</f>
        <v/>
      </c>
    </row>
    <row r="14">
      <c r="A14" t="inlineStr">
        <is>
          <t>Month 13</t>
        </is>
      </c>
      <c r="B14">
        <f>IF('Monthly Tracker'!D14="","❌ EMI Missing","OK")</f>
        <v/>
      </c>
    </row>
    <row r="15">
      <c r="A15" t="inlineStr">
        <is>
          <t>Month 14</t>
        </is>
      </c>
      <c r="B15">
        <f>IF('Monthly Tracker'!D15="","❌ EMI Missing","OK")</f>
        <v/>
      </c>
    </row>
    <row r="16">
      <c r="A16" t="inlineStr">
        <is>
          <t>Month 15</t>
        </is>
      </c>
      <c r="B16">
        <f>IF('Monthly Tracker'!D16="","❌ EMI Missing","OK")</f>
        <v/>
      </c>
    </row>
    <row r="17">
      <c r="A17" t="inlineStr">
        <is>
          <t>Month 16</t>
        </is>
      </c>
      <c r="B17">
        <f>IF('Monthly Tracker'!D17="","❌ EMI Missing","OK")</f>
        <v/>
      </c>
    </row>
    <row r="18">
      <c r="A18" t="inlineStr">
        <is>
          <t>Month 17</t>
        </is>
      </c>
      <c r="B18">
        <f>IF('Monthly Tracker'!D18="","❌ EMI Missing","OK")</f>
        <v/>
      </c>
    </row>
    <row r="19">
      <c r="A19" t="inlineStr">
        <is>
          <t>Month 18</t>
        </is>
      </c>
      <c r="B19">
        <f>IF('Monthly Tracker'!D19="","❌ EMI Missing","OK")</f>
        <v/>
      </c>
    </row>
    <row r="20">
      <c r="A20" t="inlineStr">
        <is>
          <t>Month 19</t>
        </is>
      </c>
      <c r="B20">
        <f>IF('Monthly Tracker'!D20="","❌ EMI Missing","OK")</f>
        <v/>
      </c>
    </row>
    <row r="21">
      <c r="A21" t="inlineStr">
        <is>
          <t>Month 20</t>
        </is>
      </c>
      <c r="B21">
        <f>IF('Monthly Tracker'!D21="","❌ EMI Missing","OK")</f>
        <v/>
      </c>
    </row>
    <row r="22">
      <c r="A22" t="inlineStr">
        <is>
          <t>Month 21</t>
        </is>
      </c>
      <c r="B22">
        <f>IF('Monthly Tracker'!D22="","❌ EMI Missing","OK")</f>
        <v/>
      </c>
    </row>
    <row r="23">
      <c r="A23" t="inlineStr">
        <is>
          <t>Month 22</t>
        </is>
      </c>
      <c r="B23">
        <f>IF('Monthly Tracker'!D23="","❌ EMI Missing","OK")</f>
        <v/>
      </c>
    </row>
    <row r="24">
      <c r="A24" t="inlineStr">
        <is>
          <t>Month 23</t>
        </is>
      </c>
      <c r="B24">
        <f>IF('Monthly Tracker'!D24="","❌ EMI Missing","OK")</f>
        <v/>
      </c>
    </row>
    <row r="25">
      <c r="A25" t="inlineStr">
        <is>
          <t>Month 24</t>
        </is>
      </c>
      <c r="B25">
        <f>IF('Monthly Tracker'!D25="","❌ EMI Missing","OK")</f>
        <v/>
      </c>
    </row>
    <row r="26">
      <c r="A26" t="inlineStr">
        <is>
          <t>Month 25</t>
        </is>
      </c>
      <c r="B26">
        <f>IF('Monthly Tracker'!D26="","❌ EMI Missing","OK")</f>
        <v/>
      </c>
    </row>
    <row r="27">
      <c r="A27" t="inlineStr">
        <is>
          <t>Month 26</t>
        </is>
      </c>
      <c r="B27">
        <f>IF('Monthly Tracker'!D27="","❌ EMI Missing","OK")</f>
        <v/>
      </c>
    </row>
    <row r="28">
      <c r="A28" t="inlineStr">
        <is>
          <t>Month 27</t>
        </is>
      </c>
      <c r="B28">
        <f>IF('Monthly Tracker'!D28="","❌ EMI Missing","OK")</f>
        <v/>
      </c>
    </row>
    <row r="29">
      <c r="A29" t="inlineStr">
        <is>
          <t>Month 28</t>
        </is>
      </c>
      <c r="B29">
        <f>IF('Monthly Tracker'!D29="","❌ EMI Missing","OK")</f>
        <v/>
      </c>
    </row>
    <row r="30">
      <c r="A30" t="inlineStr">
        <is>
          <t>Month 29</t>
        </is>
      </c>
      <c r="B30">
        <f>IF('Monthly Tracker'!D30="","❌ EMI Missing","OK")</f>
        <v/>
      </c>
    </row>
    <row r="31">
      <c r="A31" t="inlineStr">
        <is>
          <t>Month 30</t>
        </is>
      </c>
      <c r="B31">
        <f>IF('Monthly Tracker'!D31="","❌ EMI Missing","OK")</f>
        <v/>
      </c>
    </row>
    <row r="32">
      <c r="A32" t="inlineStr">
        <is>
          <t>Month 31</t>
        </is>
      </c>
      <c r="B32">
        <f>IF('Monthly Tracker'!D32="","❌ EMI Missing","OK")</f>
        <v/>
      </c>
    </row>
    <row r="33">
      <c r="A33" t="inlineStr">
        <is>
          <t>Month 32</t>
        </is>
      </c>
      <c r="B33">
        <f>IF('Monthly Tracker'!D33="","❌ EMI Missing","OK")</f>
        <v/>
      </c>
    </row>
    <row r="34">
      <c r="A34" t="inlineStr">
        <is>
          <t>Month 33</t>
        </is>
      </c>
      <c r="B34">
        <f>IF('Monthly Tracker'!D34="","❌ EMI Missing","OK")</f>
        <v/>
      </c>
    </row>
    <row r="35">
      <c r="A35" t="inlineStr">
        <is>
          <t>Month 34</t>
        </is>
      </c>
      <c r="B35">
        <f>IF('Monthly Tracker'!D35="","❌ EMI Missing","OK")</f>
        <v/>
      </c>
    </row>
    <row r="36">
      <c r="A36" t="inlineStr">
        <is>
          <t>Month 35</t>
        </is>
      </c>
      <c r="B36">
        <f>IF('Monthly Tracker'!D36="","❌ EMI Missing","OK")</f>
        <v/>
      </c>
    </row>
    <row r="37">
      <c r="A37" t="inlineStr">
        <is>
          <t>Month 36</t>
        </is>
      </c>
      <c r="B37">
        <f>IF('Monthly Tracker'!D37="","❌ EMI Missing","OK")</f>
        <v/>
      </c>
    </row>
    <row r="38">
      <c r="A38" t="inlineStr">
        <is>
          <t>Month 37</t>
        </is>
      </c>
      <c r="B38">
        <f>IF('Monthly Tracker'!D38="","❌ EMI Missing","OK")</f>
        <v/>
      </c>
    </row>
    <row r="39">
      <c r="A39" t="inlineStr">
        <is>
          <t>Month 38</t>
        </is>
      </c>
      <c r="B39">
        <f>IF('Monthly Tracker'!D39="","❌ EMI Missing","OK")</f>
        <v/>
      </c>
    </row>
    <row r="40">
      <c r="A40" t="inlineStr">
        <is>
          <t>Month 39</t>
        </is>
      </c>
      <c r="B40">
        <f>IF('Monthly Tracker'!D40="","❌ EMI Missing","OK")</f>
        <v/>
      </c>
    </row>
    <row r="41">
      <c r="A41" t="inlineStr">
        <is>
          <t>Month 40</t>
        </is>
      </c>
      <c r="B41">
        <f>IF('Monthly Tracker'!D41="","❌ EMI Missing","OK")</f>
        <v/>
      </c>
    </row>
    <row r="42">
      <c r="A42" t="inlineStr">
        <is>
          <t>Month 41</t>
        </is>
      </c>
      <c r="B42">
        <f>IF('Monthly Tracker'!D42="","❌ EMI Missing","OK")</f>
        <v/>
      </c>
    </row>
    <row r="43">
      <c r="A43" t="inlineStr">
        <is>
          <t>Month 42</t>
        </is>
      </c>
      <c r="B43">
        <f>IF('Monthly Tracker'!D43="","❌ EMI Missing","OK")</f>
        <v/>
      </c>
    </row>
    <row r="44">
      <c r="A44" t="inlineStr">
        <is>
          <t>Month 43</t>
        </is>
      </c>
      <c r="B44">
        <f>IF('Monthly Tracker'!D44="","❌ EMI Missing","OK")</f>
        <v/>
      </c>
    </row>
    <row r="45">
      <c r="A45" t="inlineStr">
        <is>
          <t>Month 44</t>
        </is>
      </c>
      <c r="B45">
        <f>IF('Monthly Tracker'!D45="","❌ EMI Missing","OK")</f>
        <v/>
      </c>
    </row>
    <row r="46">
      <c r="A46" t="inlineStr">
        <is>
          <t>Month 45</t>
        </is>
      </c>
      <c r="B46">
        <f>IF('Monthly Tracker'!D46="","❌ EMI Missing","OK")</f>
        <v/>
      </c>
    </row>
    <row r="47">
      <c r="A47" t="inlineStr">
        <is>
          <t>Month 46</t>
        </is>
      </c>
      <c r="B47">
        <f>IF('Monthly Tracker'!D47="","❌ EMI Missing","OK")</f>
        <v/>
      </c>
    </row>
    <row r="48">
      <c r="A48" t="inlineStr">
        <is>
          <t>Month 47</t>
        </is>
      </c>
      <c r="B48">
        <f>IF('Monthly Tracker'!D48="","❌ EMI Missing","OK")</f>
        <v/>
      </c>
    </row>
    <row r="49">
      <c r="A49" t="inlineStr">
        <is>
          <t>Month 48</t>
        </is>
      </c>
      <c r="B49">
        <f>IF('Monthly Tracker'!D49="","❌ EMI Missing","OK")</f>
        <v/>
      </c>
    </row>
    <row r="50">
      <c r="A50" t="inlineStr">
        <is>
          <t>Month 49</t>
        </is>
      </c>
      <c r="B50">
        <f>IF('Monthly Tracker'!D50="","❌ EMI Missing","OK")</f>
        <v/>
      </c>
    </row>
    <row r="51">
      <c r="A51" t="inlineStr">
        <is>
          <t>Month 50</t>
        </is>
      </c>
      <c r="B51">
        <f>IF('Monthly Tracker'!D51="","❌ EMI Missing","OK")</f>
        <v/>
      </c>
    </row>
    <row r="52">
      <c r="A52" t="inlineStr">
        <is>
          <t>Month 51</t>
        </is>
      </c>
      <c r="B52">
        <f>IF('Monthly Tracker'!D52="","❌ EMI Missing","OK")</f>
        <v/>
      </c>
    </row>
    <row r="53">
      <c r="A53" t="inlineStr">
        <is>
          <t>Month 52</t>
        </is>
      </c>
      <c r="B53">
        <f>IF('Monthly Tracker'!D53="","❌ EMI Missing","OK")</f>
        <v/>
      </c>
    </row>
    <row r="54">
      <c r="A54" t="inlineStr">
        <is>
          <t>Month 53</t>
        </is>
      </c>
      <c r="B54">
        <f>IF('Monthly Tracker'!D54="","❌ EMI Missing","OK")</f>
        <v/>
      </c>
    </row>
    <row r="55">
      <c r="A55" t="inlineStr">
        <is>
          <t>Month 54</t>
        </is>
      </c>
      <c r="B55">
        <f>IF('Monthly Tracker'!D55="","❌ EMI Missing","OK")</f>
        <v/>
      </c>
    </row>
    <row r="56">
      <c r="A56" t="inlineStr">
        <is>
          <t>Month 55</t>
        </is>
      </c>
      <c r="B56">
        <f>IF('Monthly Tracker'!D56="","❌ EMI Missing","OK")</f>
        <v/>
      </c>
    </row>
    <row r="57">
      <c r="A57" t="inlineStr">
        <is>
          <t>Month 56</t>
        </is>
      </c>
      <c r="B57">
        <f>IF('Monthly Tracker'!D57="","❌ EMI Missing","OK")</f>
        <v/>
      </c>
    </row>
    <row r="58">
      <c r="A58" t="inlineStr">
        <is>
          <t>Month 57</t>
        </is>
      </c>
      <c r="B58">
        <f>IF('Monthly Tracker'!D58="","❌ EMI Missing","OK")</f>
        <v/>
      </c>
    </row>
    <row r="59">
      <c r="A59" t="inlineStr">
        <is>
          <t>Month 58</t>
        </is>
      </c>
      <c r="B59">
        <f>IF('Monthly Tracker'!D59="","❌ EMI Missing","OK")</f>
        <v/>
      </c>
    </row>
    <row r="60">
      <c r="A60" t="inlineStr">
        <is>
          <t>Month 59</t>
        </is>
      </c>
      <c r="B60">
        <f>IF('Monthly Tracker'!D60="","❌ EMI Missing","OK")</f>
        <v/>
      </c>
    </row>
    <row r="61">
      <c r="A61" t="inlineStr">
        <is>
          <t>Month 60</t>
        </is>
      </c>
      <c r="B61">
        <f>IF('Monthly Tracker'!D61="","❌ EMI Missing","OK")</f>
        <v/>
      </c>
    </row>
    <row r="62">
      <c r="A62" t="inlineStr">
        <is>
          <t>Month 61</t>
        </is>
      </c>
      <c r="B62">
        <f>IF('Monthly Tracker'!D62="","❌ EMI Missing","OK")</f>
        <v/>
      </c>
    </row>
    <row r="63">
      <c r="A63" t="inlineStr">
        <is>
          <t>Month 62</t>
        </is>
      </c>
      <c r="B63">
        <f>IF('Monthly Tracker'!D63="","❌ EMI Missing","OK")</f>
        <v/>
      </c>
    </row>
    <row r="64">
      <c r="A64" t="inlineStr">
        <is>
          <t>Month 63</t>
        </is>
      </c>
      <c r="B64">
        <f>IF('Monthly Tracker'!D64="","❌ EMI Missing","OK")</f>
        <v/>
      </c>
    </row>
    <row r="65">
      <c r="A65" t="inlineStr">
        <is>
          <t>Month 64</t>
        </is>
      </c>
      <c r="B65">
        <f>IF('Monthly Tracker'!D65="","❌ EMI Missing","OK")</f>
        <v/>
      </c>
    </row>
    <row r="66">
      <c r="A66" t="inlineStr">
        <is>
          <t>Month 65</t>
        </is>
      </c>
      <c r="B66">
        <f>IF('Monthly Tracker'!D66="","❌ EMI Missing","OK")</f>
        <v/>
      </c>
    </row>
    <row r="67">
      <c r="A67" t="inlineStr">
        <is>
          <t>Month 66</t>
        </is>
      </c>
      <c r="B67">
        <f>IF('Monthly Tracker'!D67="","❌ EMI Missing","OK")</f>
        <v/>
      </c>
    </row>
    <row r="68">
      <c r="A68" t="inlineStr">
        <is>
          <t>Month 67</t>
        </is>
      </c>
      <c r="B68">
        <f>IF('Monthly Tracker'!D68="","❌ EMI Missing","OK")</f>
        <v/>
      </c>
    </row>
    <row r="69">
      <c r="A69" t="inlineStr">
        <is>
          <t>Month 68</t>
        </is>
      </c>
      <c r="B69">
        <f>IF('Monthly Tracker'!D69="","❌ EMI Missing","OK")</f>
        <v/>
      </c>
    </row>
    <row r="70">
      <c r="A70" t="inlineStr">
        <is>
          <t>Month 69</t>
        </is>
      </c>
      <c r="B70">
        <f>IF('Monthly Tracker'!D70="","❌ EMI Missing","OK")</f>
        <v/>
      </c>
    </row>
    <row r="71">
      <c r="A71" t="inlineStr">
        <is>
          <t>Month 70</t>
        </is>
      </c>
      <c r="B71">
        <f>IF('Monthly Tracker'!D71="","❌ EMI Missing","OK")</f>
        <v/>
      </c>
    </row>
    <row r="72">
      <c r="A72" t="inlineStr">
        <is>
          <t>Month 71</t>
        </is>
      </c>
      <c r="B72">
        <f>IF('Monthly Tracker'!D72="","❌ EMI Missing","OK")</f>
        <v/>
      </c>
    </row>
    <row r="73">
      <c r="A73" t="inlineStr">
        <is>
          <t>Month 72</t>
        </is>
      </c>
      <c r="B73">
        <f>IF('Monthly Tracker'!D73="","❌ EMI Missing","OK")</f>
        <v/>
      </c>
    </row>
    <row r="74">
      <c r="A74" t="inlineStr">
        <is>
          <t>Month 73</t>
        </is>
      </c>
      <c r="B74">
        <f>IF('Monthly Tracker'!D74="","❌ EMI Missing","OK")</f>
        <v/>
      </c>
    </row>
    <row r="75">
      <c r="A75" t="inlineStr">
        <is>
          <t>Month 74</t>
        </is>
      </c>
      <c r="B75">
        <f>IF('Monthly Tracker'!D75="","❌ EMI Missing","OK")</f>
        <v/>
      </c>
    </row>
    <row r="76">
      <c r="A76" t="inlineStr">
        <is>
          <t>Month 75</t>
        </is>
      </c>
      <c r="B76">
        <f>IF('Monthly Tracker'!D76="","❌ EMI Missing","OK")</f>
        <v/>
      </c>
    </row>
    <row r="77">
      <c r="A77" t="inlineStr">
        <is>
          <t>Month 76</t>
        </is>
      </c>
      <c r="B77">
        <f>IF('Monthly Tracker'!D77="","❌ EMI Missing","OK")</f>
        <v/>
      </c>
    </row>
    <row r="78">
      <c r="A78" t="inlineStr">
        <is>
          <t>Month 77</t>
        </is>
      </c>
      <c r="B78">
        <f>IF('Monthly Tracker'!D78="","❌ EMI Missing","OK")</f>
        <v/>
      </c>
    </row>
    <row r="79">
      <c r="A79" t="inlineStr">
        <is>
          <t>Month 78</t>
        </is>
      </c>
      <c r="B79">
        <f>IF('Monthly Tracker'!D79="","❌ EMI Missing","OK")</f>
        <v/>
      </c>
    </row>
    <row r="80">
      <c r="A80" t="inlineStr">
        <is>
          <t>Month 79</t>
        </is>
      </c>
      <c r="B80">
        <f>IF('Monthly Tracker'!D80="","❌ EMI Missing","OK")</f>
        <v/>
      </c>
    </row>
    <row r="81">
      <c r="A81" t="inlineStr">
        <is>
          <t>Month 80</t>
        </is>
      </c>
      <c r="B81">
        <f>IF('Monthly Tracker'!D81="","❌ EMI Missing","OK")</f>
        <v/>
      </c>
    </row>
    <row r="82">
      <c r="A82" t="inlineStr">
        <is>
          <t>Month 81</t>
        </is>
      </c>
      <c r="B82">
        <f>IF('Monthly Tracker'!D82="","❌ EMI Missing","OK")</f>
        <v/>
      </c>
    </row>
    <row r="83">
      <c r="A83" t="inlineStr">
        <is>
          <t>Month 82</t>
        </is>
      </c>
      <c r="B83">
        <f>IF('Monthly Tracker'!D83="","❌ EMI Missing","OK")</f>
        <v/>
      </c>
    </row>
    <row r="84">
      <c r="A84" t="inlineStr">
        <is>
          <t>Month 83</t>
        </is>
      </c>
      <c r="B84">
        <f>IF('Monthly Tracker'!D84="","❌ EMI Missing","OK")</f>
        <v/>
      </c>
    </row>
    <row r="85">
      <c r="A85" t="inlineStr">
        <is>
          <t>Month 84</t>
        </is>
      </c>
      <c r="B85">
        <f>IF('Monthly Tracker'!D85="","❌ EMI Missing","OK")</f>
        <v/>
      </c>
    </row>
    <row r="86">
      <c r="A86" t="inlineStr">
        <is>
          <t>Month 85</t>
        </is>
      </c>
      <c r="B86">
        <f>IF('Monthly Tracker'!D86="","❌ EMI Missing","OK")</f>
        <v/>
      </c>
    </row>
    <row r="87">
      <c r="A87" t="inlineStr">
        <is>
          <t>Month 86</t>
        </is>
      </c>
      <c r="B87">
        <f>IF('Monthly Tracker'!D87="","❌ EMI Missing","OK")</f>
        <v/>
      </c>
    </row>
    <row r="88">
      <c r="A88" t="inlineStr">
        <is>
          <t>Month 87</t>
        </is>
      </c>
      <c r="B88">
        <f>IF('Monthly Tracker'!D88="","❌ EMI Missing","OK")</f>
        <v/>
      </c>
    </row>
    <row r="89">
      <c r="A89" t="inlineStr">
        <is>
          <t>Month 88</t>
        </is>
      </c>
      <c r="B89">
        <f>IF('Monthly Tracker'!D89="","❌ EMI Missing","OK")</f>
        <v/>
      </c>
    </row>
    <row r="90">
      <c r="A90" t="inlineStr">
        <is>
          <t>Month 89</t>
        </is>
      </c>
      <c r="B90">
        <f>IF('Monthly Tracker'!D90="","❌ EMI Missing","OK")</f>
        <v/>
      </c>
    </row>
    <row r="91">
      <c r="A91" t="inlineStr">
        <is>
          <t>Month 90</t>
        </is>
      </c>
      <c r="B91">
        <f>IF('Monthly Tracker'!D91="","❌ EMI Missing","OK")</f>
        <v/>
      </c>
    </row>
    <row r="92">
      <c r="A92" t="inlineStr">
        <is>
          <t>Month 91</t>
        </is>
      </c>
      <c r="B92">
        <f>IF('Monthly Tracker'!D92="","❌ EMI Missing","OK")</f>
        <v/>
      </c>
    </row>
    <row r="93">
      <c r="A93" t="inlineStr">
        <is>
          <t>Month 92</t>
        </is>
      </c>
      <c r="B93">
        <f>IF('Monthly Tracker'!D93="","❌ EMI Missing","OK")</f>
        <v/>
      </c>
    </row>
    <row r="94">
      <c r="A94" t="inlineStr">
        <is>
          <t>Month 93</t>
        </is>
      </c>
      <c r="B94">
        <f>IF('Monthly Tracker'!D94="","❌ EMI Missing","OK")</f>
        <v/>
      </c>
    </row>
    <row r="95">
      <c r="A95" t="inlineStr">
        <is>
          <t>Month 94</t>
        </is>
      </c>
      <c r="B95">
        <f>IF('Monthly Tracker'!D95="","❌ EMI Missing","OK")</f>
        <v/>
      </c>
    </row>
    <row r="96">
      <c r="A96" t="inlineStr">
        <is>
          <t>Month 95</t>
        </is>
      </c>
      <c r="B96">
        <f>IF('Monthly Tracker'!D96="","❌ EMI Missing","OK")</f>
        <v/>
      </c>
    </row>
    <row r="97">
      <c r="A97" t="inlineStr">
        <is>
          <t>Month 96</t>
        </is>
      </c>
      <c r="B97">
        <f>IF('Monthly Tracker'!D97="","❌ EMI Missing","OK")</f>
        <v/>
      </c>
    </row>
    <row r="98">
      <c r="A98" t="inlineStr">
        <is>
          <t>Month 97</t>
        </is>
      </c>
      <c r="B98">
        <f>IF('Monthly Tracker'!D98="","❌ EMI Missing","OK")</f>
        <v/>
      </c>
    </row>
    <row r="99">
      <c r="A99" t="inlineStr">
        <is>
          <t>Month 98</t>
        </is>
      </c>
      <c r="B99">
        <f>IF('Monthly Tracker'!D99="","❌ EMI Missing","OK")</f>
        <v/>
      </c>
    </row>
    <row r="100">
      <c r="A100" t="inlineStr">
        <is>
          <t>Month 99</t>
        </is>
      </c>
      <c r="B100">
        <f>IF('Monthly Tracker'!D100="","❌ EMI Missing","OK")</f>
        <v/>
      </c>
    </row>
    <row r="101">
      <c r="A101" t="inlineStr">
        <is>
          <t>Month 100</t>
        </is>
      </c>
      <c r="B101">
        <f>IF('Monthly Tracker'!D101="","❌ EMI Missing","OK")</f>
        <v/>
      </c>
    </row>
    <row r="102">
      <c r="A102" t="inlineStr">
        <is>
          <t>Month 101</t>
        </is>
      </c>
      <c r="B102">
        <f>IF('Monthly Tracker'!D102="","❌ EMI Missing","OK")</f>
        <v/>
      </c>
    </row>
    <row r="103">
      <c r="A103" t="inlineStr">
        <is>
          <t>Month 102</t>
        </is>
      </c>
      <c r="B103">
        <f>IF('Monthly Tracker'!D103="","❌ EMI Missing","OK")</f>
        <v/>
      </c>
    </row>
    <row r="104">
      <c r="A104" t="inlineStr">
        <is>
          <t>Month 103</t>
        </is>
      </c>
      <c r="B104">
        <f>IF('Monthly Tracker'!D104="","❌ EMI Missing","OK")</f>
        <v/>
      </c>
    </row>
    <row r="105">
      <c r="A105" t="inlineStr">
        <is>
          <t>Month 104</t>
        </is>
      </c>
      <c r="B105">
        <f>IF('Monthly Tracker'!D105="","❌ EMI Missing","OK")</f>
        <v/>
      </c>
    </row>
    <row r="106">
      <c r="A106" t="inlineStr">
        <is>
          <t>Month 105</t>
        </is>
      </c>
      <c r="B106">
        <f>IF('Monthly Tracker'!D106="","❌ EMI Missing","OK")</f>
        <v/>
      </c>
    </row>
    <row r="107">
      <c r="A107" t="inlineStr">
        <is>
          <t>Month 106</t>
        </is>
      </c>
      <c r="B107">
        <f>IF('Monthly Tracker'!D107="","❌ EMI Missing","OK")</f>
        <v/>
      </c>
    </row>
    <row r="108">
      <c r="A108" t="inlineStr">
        <is>
          <t>Month 107</t>
        </is>
      </c>
      <c r="B108">
        <f>IF('Monthly Tracker'!D108="","❌ EMI Missing","OK")</f>
        <v/>
      </c>
    </row>
    <row r="109">
      <c r="A109" t="inlineStr">
        <is>
          <t>Month 108</t>
        </is>
      </c>
      <c r="B109">
        <f>IF('Monthly Tracker'!D109="","❌ EMI Missing","OK")</f>
        <v/>
      </c>
    </row>
    <row r="110">
      <c r="A110" t="inlineStr">
        <is>
          <t>Month 109</t>
        </is>
      </c>
      <c r="B110">
        <f>IF('Monthly Tracker'!D110="","❌ EMI Missing","OK")</f>
        <v/>
      </c>
    </row>
    <row r="111">
      <c r="A111" t="inlineStr">
        <is>
          <t>Month 110</t>
        </is>
      </c>
      <c r="B111">
        <f>IF('Monthly Tracker'!D111="","❌ EMI Missing","OK")</f>
        <v/>
      </c>
    </row>
    <row r="112">
      <c r="A112" t="inlineStr">
        <is>
          <t>Month 111</t>
        </is>
      </c>
      <c r="B112">
        <f>IF('Monthly Tracker'!D112="","❌ EMI Missing","OK")</f>
        <v/>
      </c>
    </row>
    <row r="113">
      <c r="A113" t="inlineStr">
        <is>
          <t>Month 112</t>
        </is>
      </c>
      <c r="B113">
        <f>IF('Monthly Tracker'!D113="","❌ EMI Missing","OK")</f>
        <v/>
      </c>
    </row>
    <row r="114">
      <c r="A114" t="inlineStr">
        <is>
          <t>Month 113</t>
        </is>
      </c>
      <c r="B114">
        <f>IF('Monthly Tracker'!D114="","❌ EMI Missing","OK")</f>
        <v/>
      </c>
    </row>
    <row r="115">
      <c r="A115" t="inlineStr">
        <is>
          <t>Month 114</t>
        </is>
      </c>
      <c r="B115">
        <f>IF('Monthly Tracker'!D115="","❌ EMI Missing","OK")</f>
        <v/>
      </c>
    </row>
    <row r="116">
      <c r="A116" t="inlineStr">
        <is>
          <t>Month 115</t>
        </is>
      </c>
      <c r="B116">
        <f>IF('Monthly Tracker'!D116="","❌ EMI Missing","OK")</f>
        <v/>
      </c>
    </row>
    <row r="117">
      <c r="A117" t="inlineStr">
        <is>
          <t>Month 116</t>
        </is>
      </c>
      <c r="B117">
        <f>IF('Monthly Tracker'!D117="","❌ EMI Missing","OK")</f>
        <v/>
      </c>
    </row>
    <row r="118">
      <c r="A118" t="inlineStr">
        <is>
          <t>Month 117</t>
        </is>
      </c>
      <c r="B118">
        <f>IF('Monthly Tracker'!D118="","❌ EMI Missing","OK")</f>
        <v/>
      </c>
    </row>
    <row r="119">
      <c r="A119" t="inlineStr">
        <is>
          <t>Month 118</t>
        </is>
      </c>
      <c r="B119">
        <f>IF('Monthly Tracker'!D119="","❌ EMI Missing","OK")</f>
        <v/>
      </c>
    </row>
    <row r="120">
      <c r="A120" t="inlineStr">
        <is>
          <t>Month 119</t>
        </is>
      </c>
      <c r="B120">
        <f>IF('Monthly Tracker'!D120="","❌ EMI Missing","OK")</f>
        <v/>
      </c>
    </row>
    <row r="121">
      <c r="A121" t="inlineStr">
        <is>
          <t>Month 120</t>
        </is>
      </c>
      <c r="B121">
        <f>IF('Monthly Tracker'!D121="","❌ EMI Missing","OK")</f>
        <v/>
      </c>
    </row>
    <row r="122">
      <c r="A122" t="inlineStr">
        <is>
          <t>Month 121</t>
        </is>
      </c>
      <c r="B122">
        <f>IF('Monthly Tracker'!D122="","❌ EMI Missing","OK")</f>
        <v/>
      </c>
    </row>
    <row r="123">
      <c r="A123" t="inlineStr">
        <is>
          <t>Month 122</t>
        </is>
      </c>
      <c r="B123">
        <f>IF('Monthly Tracker'!D123="","❌ EMI Missing","OK")</f>
        <v/>
      </c>
    </row>
    <row r="124">
      <c r="A124" t="inlineStr">
        <is>
          <t>Month 123</t>
        </is>
      </c>
      <c r="B124">
        <f>IF('Monthly Tracker'!D124="","❌ EMI Missing","OK")</f>
        <v/>
      </c>
    </row>
    <row r="125">
      <c r="A125" t="inlineStr">
        <is>
          <t>Month 124</t>
        </is>
      </c>
      <c r="B125">
        <f>IF('Monthly Tracker'!D125="","❌ EMI Missing","OK")</f>
        <v/>
      </c>
    </row>
    <row r="126">
      <c r="A126" t="inlineStr">
        <is>
          <t>Month 125</t>
        </is>
      </c>
      <c r="B126">
        <f>IF('Monthly Tracker'!D126="","❌ EMI Missing","OK")</f>
        <v/>
      </c>
    </row>
    <row r="127">
      <c r="A127" t="inlineStr">
        <is>
          <t>Month 126</t>
        </is>
      </c>
      <c r="B127">
        <f>IF('Monthly Tracker'!D127="","❌ EMI Missing","OK")</f>
        <v/>
      </c>
    </row>
    <row r="128">
      <c r="A128" t="inlineStr">
        <is>
          <t>Month 127</t>
        </is>
      </c>
      <c r="B128">
        <f>IF('Monthly Tracker'!D128="","❌ EMI Missing","OK")</f>
        <v/>
      </c>
    </row>
    <row r="129">
      <c r="A129" t="inlineStr">
        <is>
          <t>Month 128</t>
        </is>
      </c>
      <c r="B129">
        <f>IF('Monthly Tracker'!D129="","❌ EMI Missing","OK")</f>
        <v/>
      </c>
    </row>
    <row r="130">
      <c r="A130" t="inlineStr">
        <is>
          <t>Month 129</t>
        </is>
      </c>
      <c r="B130">
        <f>IF('Monthly Tracker'!D130="","❌ EMI Missing","OK")</f>
        <v/>
      </c>
    </row>
    <row r="131">
      <c r="A131" t="inlineStr">
        <is>
          <t>Month 130</t>
        </is>
      </c>
      <c r="B131">
        <f>IF('Monthly Tracker'!D131="","❌ EMI Missing","OK")</f>
        <v/>
      </c>
    </row>
    <row r="132">
      <c r="A132" t="inlineStr">
        <is>
          <t>Month 131</t>
        </is>
      </c>
      <c r="B132">
        <f>IF('Monthly Tracker'!D132="","❌ EMI Missing","OK")</f>
        <v/>
      </c>
    </row>
    <row r="133">
      <c r="A133" t="inlineStr">
        <is>
          <t>Month 132</t>
        </is>
      </c>
      <c r="B133">
        <f>IF('Monthly Tracker'!D133="","❌ EMI Missing","OK")</f>
        <v/>
      </c>
    </row>
    <row r="134">
      <c r="A134" t="inlineStr">
        <is>
          <t>Month 133</t>
        </is>
      </c>
      <c r="B134">
        <f>IF('Monthly Tracker'!D134="","❌ EMI Missing","OK")</f>
        <v/>
      </c>
    </row>
    <row r="135">
      <c r="A135" t="inlineStr">
        <is>
          <t>Month 134</t>
        </is>
      </c>
      <c r="B135">
        <f>IF('Monthly Tracker'!D135="","❌ EMI Missing","OK")</f>
        <v/>
      </c>
    </row>
    <row r="136">
      <c r="A136" t="inlineStr">
        <is>
          <t>Month 135</t>
        </is>
      </c>
      <c r="B136">
        <f>IF('Monthly Tracker'!D136="","❌ EMI Missing","OK")</f>
        <v/>
      </c>
    </row>
    <row r="137">
      <c r="A137" t="inlineStr">
        <is>
          <t>Month 136</t>
        </is>
      </c>
      <c r="B137">
        <f>IF('Monthly Tracker'!D137="","❌ EMI Missing","OK")</f>
        <v/>
      </c>
    </row>
    <row r="138">
      <c r="A138" t="inlineStr">
        <is>
          <t>Month 137</t>
        </is>
      </c>
      <c r="B138">
        <f>IF('Monthly Tracker'!D138="","❌ EMI Missing","OK")</f>
        <v/>
      </c>
    </row>
    <row r="139">
      <c r="A139" t="inlineStr">
        <is>
          <t>Month 138</t>
        </is>
      </c>
      <c r="B139">
        <f>IF('Monthly Tracker'!D139="","❌ EMI Missing","OK")</f>
        <v/>
      </c>
    </row>
    <row r="140">
      <c r="A140" t="inlineStr">
        <is>
          <t>Month 139</t>
        </is>
      </c>
      <c r="B140">
        <f>IF('Monthly Tracker'!D140="","❌ EMI Missing","OK")</f>
        <v/>
      </c>
    </row>
    <row r="141">
      <c r="A141" t="inlineStr">
        <is>
          <t>Month 140</t>
        </is>
      </c>
      <c r="B141">
        <f>IF('Monthly Tracker'!D141="","❌ EMI Missing","OK")</f>
        <v/>
      </c>
    </row>
    <row r="142">
      <c r="A142" t="inlineStr">
        <is>
          <t>Month 141</t>
        </is>
      </c>
      <c r="B142">
        <f>IF('Monthly Tracker'!D142="","❌ EMI Missing","OK")</f>
        <v/>
      </c>
    </row>
    <row r="143">
      <c r="A143" t="inlineStr">
        <is>
          <t>Month 142</t>
        </is>
      </c>
      <c r="B143">
        <f>IF('Monthly Tracker'!D143="","❌ EMI Missing","OK")</f>
        <v/>
      </c>
    </row>
    <row r="144">
      <c r="A144" t="inlineStr">
        <is>
          <t>Month 143</t>
        </is>
      </c>
      <c r="B144">
        <f>IF('Monthly Tracker'!D144="","❌ EMI Missing","OK")</f>
        <v/>
      </c>
    </row>
    <row r="145">
      <c r="A145" t="inlineStr">
        <is>
          <t>Month 144</t>
        </is>
      </c>
      <c r="B145">
        <f>IF('Monthly Tracker'!D145="","❌ EMI Missing","OK")</f>
        <v/>
      </c>
    </row>
    <row r="146">
      <c r="A146" t="inlineStr">
        <is>
          <t>Month 145</t>
        </is>
      </c>
      <c r="B146">
        <f>IF('Monthly Tracker'!D146="","❌ EMI Missing","OK")</f>
        <v/>
      </c>
    </row>
    <row r="147">
      <c r="A147" t="inlineStr">
        <is>
          <t>Month 146</t>
        </is>
      </c>
      <c r="B147">
        <f>IF('Monthly Tracker'!D147="","❌ EMI Missing","OK")</f>
        <v/>
      </c>
    </row>
    <row r="148">
      <c r="A148" t="inlineStr">
        <is>
          <t>Month 147</t>
        </is>
      </c>
      <c r="B148">
        <f>IF('Monthly Tracker'!D148="","❌ EMI Missing","OK")</f>
        <v/>
      </c>
    </row>
    <row r="149">
      <c r="A149" t="inlineStr">
        <is>
          <t>Month 148</t>
        </is>
      </c>
      <c r="B149">
        <f>IF('Monthly Tracker'!D149="","❌ EMI Missing","OK")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2026-05-01T07:21:40Z</dcterms:created>
  <dcterms:modified xsi:type="dcterms:W3CDTF">2026-05-01T07:21:40Z</dcterms:modified>
</cp:coreProperties>
</file>